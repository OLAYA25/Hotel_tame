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geren\Downloads\"/>
    </mc:Choice>
  </mc:AlternateContent>
  <xr:revisionPtr revIDLastSave="0" documentId="8_{F3889A6B-854F-42DE-BC47-64D0E2EB9E8F}" xr6:coauthVersionLast="47" xr6:coauthVersionMax="47" xr10:uidLastSave="{00000000-0000-0000-0000-000000000000}"/>
  <bookViews>
    <workbookView xWindow="-120" yWindow="-120" windowWidth="29040" windowHeight="15720" xr2:uid="{DBBBDB52-6E1D-4E63-9961-47041C3119CC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82" i="1" l="1"/>
  <c r="P81" i="1"/>
  <c r="P82" i="2"/>
  <c r="P81" i="2"/>
  <c r="D81" i="2"/>
  <c r="H80" i="2"/>
  <c r="H79" i="2"/>
  <c r="H78" i="2"/>
  <c r="H76" i="2"/>
  <c r="H75" i="2"/>
  <c r="H74" i="2"/>
  <c r="H73" i="2"/>
  <c r="H72" i="2"/>
  <c r="H70" i="2"/>
  <c r="H69" i="2"/>
  <c r="H68" i="2"/>
  <c r="H64" i="2"/>
  <c r="H63" i="2"/>
  <c r="H61" i="2"/>
  <c r="H60" i="2"/>
  <c r="H58" i="2"/>
  <c r="H57" i="2"/>
  <c r="H56" i="2"/>
  <c r="H55" i="2"/>
  <c r="H52" i="2"/>
  <c r="H51" i="2"/>
  <c r="H50" i="2"/>
  <c r="H47" i="2"/>
  <c r="H46" i="2"/>
  <c r="H45" i="2"/>
  <c r="H33" i="2"/>
  <c r="H32" i="2"/>
  <c r="H25" i="2"/>
  <c r="H24" i="2"/>
  <c r="H23" i="2"/>
  <c r="H22" i="2"/>
  <c r="H21" i="2"/>
  <c r="H20" i="2"/>
  <c r="H19" i="2"/>
  <c r="H18" i="2"/>
  <c r="H17" i="2"/>
  <c r="H16" i="2"/>
  <c r="H15" i="2"/>
  <c r="H14" i="2"/>
  <c r="H13" i="2"/>
  <c r="H12" i="2"/>
  <c r="H11" i="2"/>
  <c r="H10" i="2"/>
  <c r="H9" i="2"/>
  <c r="H8" i="2"/>
  <c r="H6" i="2"/>
  <c r="H5" i="2"/>
  <c r="H4" i="2"/>
  <c r="H3" i="2"/>
  <c r="H2" i="2"/>
  <c r="P83" i="2" s="1"/>
  <c r="P83" i="1"/>
  <c r="D81" i="1"/>
</calcChain>
</file>

<file path=xl/sharedStrings.xml><?xml version="1.0" encoding="utf-8"?>
<sst xmlns="http://schemas.openxmlformats.org/spreadsheetml/2006/main" count="275" uniqueCount="38">
  <si>
    <t>R.H.</t>
  </si>
  <si>
    <t>VALOR</t>
  </si>
  <si>
    <t>No. HAB.</t>
  </si>
  <si>
    <t>PAX</t>
  </si>
  <si>
    <t>DIAS HPDJ.</t>
  </si>
  <si>
    <t>ITEM</t>
  </si>
  <si>
    <t>NACIONALIDAD</t>
  </si>
  <si>
    <t>ADULTOS</t>
  </si>
  <si>
    <t>NIÑOS</t>
  </si>
  <si>
    <t>TRABAJO</t>
  </si>
  <si>
    <t>MOTIVO DE VIAJE</t>
  </si>
  <si>
    <t>ANULADO</t>
  </si>
  <si>
    <t>VACACIONES</t>
  </si>
  <si>
    <t>COLOMBIA</t>
  </si>
  <si>
    <t>CORTESIA</t>
  </si>
  <si>
    <t>PUERTO 80 SAS</t>
  </si>
  <si>
    <t>RED DE BIBLOTECAS</t>
  </si>
  <si>
    <t>COLOMBIA Y VENEZUELA</t>
  </si>
  <si>
    <t>15 AÑOS MARIA HELENA</t>
  </si>
  <si>
    <t>16 AÑOS MARIA HELENA</t>
  </si>
  <si>
    <t xml:space="preserve">CORTESIA DEL HOTEL ING DE PLANTA SOLAR YAMIL VANEGAS </t>
  </si>
  <si>
    <t>NOCHE ROMANTICA</t>
  </si>
  <si>
    <t xml:space="preserve">CORTESIA DEL HOTEL A YO ME LLAMO DIOMEDEZ DIAZ </t>
  </si>
  <si>
    <t>PERSONAS POR TRABAJO</t>
  </si>
  <si>
    <t>PERSONAS POR VACACIONES</t>
  </si>
  <si>
    <t xml:space="preserve">TOTAL </t>
  </si>
  <si>
    <t>PERSONAS HOSPEDADAS</t>
  </si>
  <si>
    <t xml:space="preserve">CAPITAL GROUP </t>
  </si>
  <si>
    <t xml:space="preserve">COLOMBIA Y VENEZUELA </t>
  </si>
  <si>
    <t xml:space="preserve">VACACIONES </t>
  </si>
  <si>
    <t xml:space="preserve">COLOMBIA  </t>
  </si>
  <si>
    <t xml:space="preserve">TRABAJO </t>
  </si>
  <si>
    <t xml:space="preserve">COLOMBIA </t>
  </si>
  <si>
    <t xml:space="preserve">VACIO </t>
  </si>
  <si>
    <t>CAPITAL GROUP</t>
  </si>
  <si>
    <t xml:space="preserve">CORTESIA BAD BUNNY </t>
  </si>
  <si>
    <t xml:space="preserve">CORTESIA </t>
  </si>
  <si>
    <t xml:space="preserve">ANTOC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</si>
</sst>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13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rgb="FF000000"/>
      <name val="Arimo"/>
    </font>
    <font>
      <sz val="12"/>
      <color rgb="FF000000"/>
      <name val="Arimo"/>
    </font>
    <font>
      <sz val="10"/>
      <color theme="1"/>
      <name val="Arimo"/>
    </font>
    <font>
      <sz val="12"/>
      <color rgb="FF000000"/>
      <name val="Arial"/>
      <family val="2"/>
    </font>
    <font>
      <b/>
      <sz val="12"/>
      <color rgb="FF0033CC"/>
      <name val="Arial"/>
      <family val="2"/>
    </font>
    <font>
      <sz val="12"/>
      <color theme="1"/>
      <name val="Arial"/>
      <family val="2"/>
    </font>
    <font>
      <sz val="12"/>
      <color rgb="FFFF0000"/>
      <name val="Arial"/>
      <family val="2"/>
    </font>
    <font>
      <b/>
      <sz val="14"/>
      <color rgb="FF0033CC"/>
      <name val="Arial"/>
      <family val="2"/>
    </font>
    <font>
      <sz val="8"/>
      <name val="Aptos Narrow"/>
      <family val="2"/>
      <scheme val="minor"/>
    </font>
    <font>
      <sz val="12"/>
      <name val="Arial"/>
      <family val="2"/>
    </font>
    <font>
      <sz val="11"/>
      <color rgb="FF242424"/>
      <name val="Consolas"/>
      <family val="3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B5F5F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</fills>
  <borders count="8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5">
    <xf numFmtId="0" fontId="0" fillId="0" borderId="0" xfId="0"/>
    <xf numFmtId="0" fontId="2" fillId="0" borderId="0" xfId="0" applyFont="1" applyAlignment="1">
      <alignment textRotation="255"/>
    </xf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textRotation="255"/>
    </xf>
    <xf numFmtId="0" fontId="5" fillId="0" borderId="0" xfId="0" applyFont="1" applyAlignment="1">
      <alignment horizontal="center"/>
    </xf>
    <xf numFmtId="0" fontId="7" fillId="0" borderId="0" xfId="0" applyFont="1"/>
    <xf numFmtId="0" fontId="7" fillId="0" borderId="3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164" fontId="5" fillId="0" borderId="3" xfId="1" applyNumberFormat="1" applyFont="1" applyBorder="1"/>
    <xf numFmtId="0" fontId="7" fillId="0" borderId="0" xfId="0" applyFont="1" applyAlignment="1">
      <alignment horizontal="center"/>
    </xf>
    <xf numFmtId="164" fontId="5" fillId="0" borderId="0" xfId="1" applyNumberFormat="1" applyFont="1" applyBorder="1" applyAlignment="1">
      <alignment horizontal="center"/>
    </xf>
    <xf numFmtId="0" fontId="5" fillId="0" borderId="0" xfId="0" applyFont="1"/>
    <xf numFmtId="0" fontId="5" fillId="0" borderId="0" xfId="0" applyFont="1" applyAlignment="1">
      <alignment horizontal="center" vertical="center" textRotation="255"/>
    </xf>
    <xf numFmtId="0" fontId="5" fillId="0" borderId="0" xfId="0" applyFont="1" applyAlignment="1">
      <alignment horizontal="center" textRotation="255"/>
    </xf>
    <xf numFmtId="164" fontId="7" fillId="0" borderId="0" xfId="1" applyNumberFormat="1" applyFont="1" applyBorder="1" applyAlignment="1">
      <alignment horizontal="center"/>
    </xf>
    <xf numFmtId="0" fontId="7" fillId="0" borderId="0" xfId="0" applyFont="1" applyAlignment="1">
      <alignment horizontal="center" textRotation="255"/>
    </xf>
    <xf numFmtId="0" fontId="5" fillId="0" borderId="0" xfId="0" applyFont="1" applyAlignment="1">
      <alignment textRotation="255"/>
    </xf>
    <xf numFmtId="0" fontId="8" fillId="0" borderId="0" xfId="0" applyFont="1" applyAlignment="1">
      <alignment horizontal="center"/>
    </xf>
    <xf numFmtId="164" fontId="5" fillId="0" borderId="0" xfId="1" applyNumberFormat="1" applyFont="1" applyAlignment="1">
      <alignment horizontal="center"/>
    </xf>
    <xf numFmtId="164" fontId="5" fillId="0" borderId="0" xfId="1" applyNumberFormat="1" applyFont="1" applyBorder="1"/>
    <xf numFmtId="0" fontId="5" fillId="0" borderId="0" xfId="0" applyFont="1" applyAlignment="1">
      <alignment horizontal="left"/>
    </xf>
    <xf numFmtId="164" fontId="7" fillId="0" borderId="0" xfId="1" applyNumberFormat="1" applyFont="1" applyBorder="1"/>
    <xf numFmtId="164" fontId="7" fillId="0" borderId="0" xfId="1" applyNumberFormat="1" applyFont="1"/>
    <xf numFmtId="164" fontId="7" fillId="0" borderId="0" xfId="1" applyNumberFormat="1" applyFont="1" applyFill="1" applyBorder="1" applyAlignment="1">
      <alignment horizontal="center"/>
    </xf>
    <xf numFmtId="0" fontId="5" fillId="0" borderId="0" xfId="0" applyFont="1" applyAlignment="1">
      <alignment vertical="center" textRotation="255"/>
    </xf>
    <xf numFmtId="164" fontId="5" fillId="0" borderId="0" xfId="1" applyNumberFormat="1" applyFont="1" applyFill="1" applyBorder="1" applyAlignment="1">
      <alignment horizontal="center"/>
    </xf>
    <xf numFmtId="0" fontId="8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7" fillId="0" borderId="3" xfId="0" applyFont="1" applyBorder="1"/>
    <xf numFmtId="0" fontId="9" fillId="0" borderId="1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164" fontId="9" fillId="0" borderId="2" xfId="1" applyNumberFormat="1" applyFont="1" applyBorder="1" applyAlignment="1">
      <alignment horizontal="center"/>
    </xf>
    <xf numFmtId="0" fontId="9" fillId="0" borderId="4" xfId="0" applyFont="1" applyBorder="1" applyAlignment="1">
      <alignment horizontal="center"/>
    </xf>
    <xf numFmtId="0" fontId="9" fillId="0" borderId="3" xfId="0" applyFont="1" applyBorder="1" applyAlignment="1">
      <alignment horizontal="left"/>
    </xf>
    <xf numFmtId="164" fontId="7" fillId="0" borderId="3" xfId="0" applyNumberFormat="1" applyFont="1" applyBorder="1"/>
    <xf numFmtId="0" fontId="12" fillId="0" borderId="0" xfId="0" applyFont="1"/>
    <xf numFmtId="164" fontId="5" fillId="0" borderId="3" xfId="0" applyNumberFormat="1" applyFont="1" applyBorder="1"/>
    <xf numFmtId="164" fontId="5" fillId="8" borderId="3" xfId="1" applyNumberFormat="1" applyFont="1" applyFill="1" applyBorder="1" applyAlignment="1">
      <alignment horizontal="center"/>
    </xf>
    <xf numFmtId="0" fontId="7" fillId="0" borderId="6" xfId="0" applyFont="1" applyBorder="1" applyAlignment="1">
      <alignment horizontal="center" vertical="center"/>
    </xf>
    <xf numFmtId="164" fontId="7" fillId="0" borderId="3" xfId="0" applyNumberFormat="1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7" fillId="9" borderId="6" xfId="0" applyFont="1" applyFill="1" applyBorder="1" applyAlignment="1">
      <alignment horizontal="center"/>
    </xf>
    <xf numFmtId="0" fontId="7" fillId="9" borderId="7" xfId="0" applyFont="1" applyFill="1" applyBorder="1" applyAlignment="1">
      <alignment horizontal="center"/>
    </xf>
    <xf numFmtId="0" fontId="7" fillId="9" borderId="5" xfId="0" applyFont="1" applyFill="1" applyBorder="1" applyAlignment="1">
      <alignment horizontal="center"/>
    </xf>
    <xf numFmtId="0" fontId="5" fillId="0" borderId="0" xfId="0" applyFont="1" applyAlignment="1">
      <alignment horizontal="center"/>
    </xf>
    <xf numFmtId="0" fontId="7" fillId="11" borderId="6" xfId="0" applyFont="1" applyFill="1" applyBorder="1" applyAlignment="1">
      <alignment horizontal="center"/>
    </xf>
    <xf numFmtId="0" fontId="7" fillId="11" borderId="7" xfId="0" applyFont="1" applyFill="1" applyBorder="1" applyAlignment="1">
      <alignment horizontal="center"/>
    </xf>
    <xf numFmtId="0" fontId="7" fillId="11" borderId="5" xfId="0" applyFont="1" applyFill="1" applyBorder="1" applyAlignment="1">
      <alignment horizontal="center"/>
    </xf>
    <xf numFmtId="0" fontId="7" fillId="10" borderId="6" xfId="0" applyFont="1" applyFill="1" applyBorder="1" applyAlignment="1">
      <alignment horizontal="center"/>
    </xf>
    <xf numFmtId="0" fontId="7" fillId="10" borderId="7" xfId="0" applyFont="1" applyFill="1" applyBorder="1" applyAlignment="1">
      <alignment horizontal="center"/>
    </xf>
    <xf numFmtId="0" fontId="7" fillId="10" borderId="5" xfId="0" applyFont="1" applyFill="1" applyBorder="1" applyAlignment="1">
      <alignment horizontal="center"/>
    </xf>
    <xf numFmtId="0" fontId="7" fillId="4" borderId="6" xfId="0" applyFont="1" applyFill="1" applyBorder="1" applyAlignment="1">
      <alignment horizontal="center"/>
    </xf>
    <xf numFmtId="0" fontId="7" fillId="4" borderId="7" xfId="0" applyFont="1" applyFill="1" applyBorder="1" applyAlignment="1">
      <alignment horizontal="center"/>
    </xf>
    <xf numFmtId="0" fontId="7" fillId="4" borderId="5" xfId="0" applyFont="1" applyFill="1" applyBorder="1" applyAlignment="1">
      <alignment horizontal="center"/>
    </xf>
    <xf numFmtId="0" fontId="7" fillId="3" borderId="6" xfId="0" applyFont="1" applyFill="1" applyBorder="1" applyAlignment="1">
      <alignment horizontal="center"/>
    </xf>
    <xf numFmtId="0" fontId="7" fillId="3" borderId="7" xfId="0" applyFont="1" applyFill="1" applyBorder="1" applyAlignment="1">
      <alignment horizontal="center"/>
    </xf>
    <xf numFmtId="0" fontId="7" fillId="3" borderId="5" xfId="0" applyFont="1" applyFill="1" applyBorder="1" applyAlignment="1">
      <alignment horizontal="center"/>
    </xf>
    <xf numFmtId="0" fontId="7" fillId="2" borderId="6" xfId="0" applyFont="1" applyFill="1" applyBorder="1" applyAlignment="1">
      <alignment horizontal="center"/>
    </xf>
    <xf numFmtId="0" fontId="7" fillId="2" borderId="7" xfId="0" applyFont="1" applyFill="1" applyBorder="1" applyAlignment="1">
      <alignment horizontal="center"/>
    </xf>
    <xf numFmtId="0" fontId="7" fillId="2" borderId="5" xfId="0" applyFont="1" applyFill="1" applyBorder="1" applyAlignment="1">
      <alignment horizontal="center"/>
    </xf>
    <xf numFmtId="0" fontId="11" fillId="6" borderId="6" xfId="0" applyFont="1" applyFill="1" applyBorder="1" applyAlignment="1">
      <alignment horizontal="center"/>
    </xf>
    <xf numFmtId="0" fontId="11" fillId="6" borderId="7" xfId="0" applyFont="1" applyFill="1" applyBorder="1" applyAlignment="1">
      <alignment horizontal="center"/>
    </xf>
    <xf numFmtId="0" fontId="11" fillId="6" borderId="5" xfId="0" applyFont="1" applyFill="1" applyBorder="1" applyAlignment="1">
      <alignment horizontal="center"/>
    </xf>
    <xf numFmtId="0" fontId="7" fillId="5" borderId="6" xfId="0" applyFont="1" applyFill="1" applyBorder="1" applyAlignment="1">
      <alignment horizontal="center"/>
    </xf>
    <xf numFmtId="0" fontId="7" fillId="5" borderId="7" xfId="0" applyFont="1" applyFill="1" applyBorder="1" applyAlignment="1">
      <alignment horizontal="center"/>
    </xf>
    <xf numFmtId="0" fontId="7" fillId="5" borderId="5" xfId="0" applyFont="1" applyFill="1" applyBorder="1" applyAlignment="1">
      <alignment horizontal="center"/>
    </xf>
    <xf numFmtId="0" fontId="7" fillId="7" borderId="6" xfId="0" applyFont="1" applyFill="1" applyBorder="1" applyAlignment="1">
      <alignment horizontal="center"/>
    </xf>
    <xf numFmtId="0" fontId="7" fillId="7" borderId="7" xfId="0" applyFont="1" applyFill="1" applyBorder="1" applyAlignment="1">
      <alignment horizontal="center"/>
    </xf>
    <xf numFmtId="0" fontId="7" fillId="7" borderId="5" xfId="0" applyFont="1" applyFill="1" applyBorder="1" applyAlignment="1">
      <alignment horizontal="center"/>
    </xf>
    <xf numFmtId="0" fontId="7" fillId="11" borderId="6" xfId="0" applyFont="1" applyFill="1" applyBorder="1" applyAlignment="1">
      <alignment horizontal="center" vertical="center"/>
    </xf>
    <xf numFmtId="0" fontId="7" fillId="11" borderId="7" xfId="0" applyFont="1" applyFill="1" applyBorder="1" applyAlignment="1">
      <alignment horizontal="center" vertical="center"/>
    </xf>
    <xf numFmtId="0" fontId="7" fillId="11" borderId="5" xfId="0" applyFont="1" applyFill="1" applyBorder="1" applyAlignment="1">
      <alignment horizontal="center" vertical="center"/>
    </xf>
    <xf numFmtId="0" fontId="7" fillId="12" borderId="6" xfId="0" applyFont="1" applyFill="1" applyBorder="1" applyAlignment="1">
      <alignment horizontal="center"/>
    </xf>
    <xf numFmtId="0" fontId="7" fillId="12" borderId="7" xfId="0" applyFont="1" applyFill="1" applyBorder="1" applyAlignment="1">
      <alignment horizontal="center"/>
    </xf>
    <xf numFmtId="0" fontId="7" fillId="12" borderId="5" xfId="0" applyFont="1" applyFill="1" applyBorder="1" applyAlignment="1">
      <alignment horizontal="center"/>
    </xf>
    <xf numFmtId="0" fontId="11" fillId="0" borderId="6" xfId="0" applyFont="1" applyBorder="1" applyAlignment="1"/>
    <xf numFmtId="0" fontId="11" fillId="0" borderId="7" xfId="0" applyFont="1" applyBorder="1" applyAlignment="1"/>
    <xf numFmtId="0" fontId="11" fillId="0" borderId="5" xfId="0" applyFont="1" applyBorder="1" applyAlignment="1"/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colors>
    <mruColors>
      <color rgb="FFFB5F5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1D99C8-98DF-446A-AC8B-C7F88792DD25}">
  <dimension ref="A1:V158"/>
  <sheetViews>
    <sheetView tabSelected="1" zoomScale="80" zoomScaleNormal="80" workbookViewId="0">
      <selection activeCell="O26" sqref="O26"/>
    </sheetView>
  </sheetViews>
  <sheetFormatPr baseColWidth="10" defaultRowHeight="15.75"/>
  <cols>
    <col min="1" max="1" width="11.42578125" style="10"/>
    <col min="2" max="2" width="11.42578125" style="6"/>
    <col min="3" max="3" width="12.85546875" style="6" customWidth="1"/>
    <col min="4" max="4" width="21" style="23" customWidth="1"/>
    <col min="5" max="5" width="17.140625" style="6" customWidth="1"/>
    <col min="6" max="6" width="16.42578125" style="6" customWidth="1"/>
    <col min="7" max="7" width="13.42578125" style="6" customWidth="1"/>
    <col min="8" max="8" width="13.7109375" style="6" customWidth="1"/>
    <col min="9" max="9" width="33.140625" style="28" customWidth="1"/>
    <col min="10" max="10" width="27.28515625" style="28" customWidth="1"/>
    <col min="11" max="11" width="11.42578125" style="6"/>
    <col min="12" max="12" width="16.85546875" style="6" customWidth="1"/>
    <col min="13" max="13" width="11.42578125" style="6"/>
    <col min="14" max="14" width="10.5703125" style="6" customWidth="1"/>
    <col min="15" max="15" width="40" style="23" customWidth="1"/>
    <col min="16" max="16" width="12.140625" style="6" customWidth="1"/>
    <col min="17" max="19" width="11.42578125" style="6"/>
    <col min="20" max="20" width="22.42578125" style="6" customWidth="1"/>
    <col min="21" max="21" width="19.42578125" style="6" customWidth="1"/>
  </cols>
  <sheetData>
    <row r="1" spans="1:21" ht="18">
      <c r="A1" s="31" t="s">
        <v>5</v>
      </c>
      <c r="B1" s="32" t="s">
        <v>0</v>
      </c>
      <c r="C1" s="32" t="s">
        <v>2</v>
      </c>
      <c r="D1" s="33" t="s">
        <v>1</v>
      </c>
      <c r="E1" s="32" t="s">
        <v>4</v>
      </c>
      <c r="F1" s="34" t="s">
        <v>7</v>
      </c>
      <c r="G1" s="34" t="s">
        <v>8</v>
      </c>
      <c r="H1" s="34" t="s">
        <v>3</v>
      </c>
      <c r="I1" s="35" t="s">
        <v>6</v>
      </c>
      <c r="J1" s="35" t="s">
        <v>10</v>
      </c>
      <c r="L1"/>
      <c r="M1"/>
      <c r="N1"/>
      <c r="O1"/>
      <c r="P1"/>
      <c r="Q1"/>
      <c r="R1"/>
      <c r="S1"/>
      <c r="T1"/>
      <c r="U1"/>
    </row>
    <row r="2" spans="1:21">
      <c r="A2" s="30">
        <v>1</v>
      </c>
      <c r="B2" s="30">
        <v>9410</v>
      </c>
      <c r="C2" s="48" t="s">
        <v>27</v>
      </c>
      <c r="D2" s="49"/>
      <c r="E2" s="49"/>
      <c r="F2" s="49"/>
      <c r="G2" s="49"/>
      <c r="H2" s="49"/>
      <c r="I2" s="49"/>
      <c r="J2" s="50"/>
      <c r="L2"/>
      <c r="M2"/>
      <c r="N2"/>
      <c r="O2"/>
      <c r="P2"/>
      <c r="Q2"/>
      <c r="R2"/>
      <c r="S2"/>
      <c r="T2"/>
      <c r="U2"/>
    </row>
    <row r="3" spans="1:21">
      <c r="A3" s="30">
        <v>2</v>
      </c>
      <c r="B3" s="30">
        <v>9411</v>
      </c>
      <c r="C3" s="44">
        <v>104</v>
      </c>
      <c r="D3" s="41">
        <v>180000</v>
      </c>
      <c r="E3" s="44">
        <v>1</v>
      </c>
      <c r="F3" s="44">
        <v>2</v>
      </c>
      <c r="G3" s="44">
        <v>0</v>
      </c>
      <c r="H3" s="44">
        <v>2</v>
      </c>
      <c r="I3" s="44" t="s">
        <v>28</v>
      </c>
      <c r="J3" s="44" t="s">
        <v>29</v>
      </c>
      <c r="L3"/>
      <c r="M3"/>
      <c r="N3"/>
      <c r="O3"/>
      <c r="P3"/>
      <c r="Q3"/>
      <c r="R3"/>
      <c r="S3"/>
      <c r="T3"/>
      <c r="U3"/>
    </row>
    <row r="4" spans="1:21">
      <c r="A4" s="30">
        <v>3</v>
      </c>
      <c r="B4" s="30">
        <v>9412</v>
      </c>
      <c r="C4" s="44">
        <v>17</v>
      </c>
      <c r="D4" s="41">
        <v>120000</v>
      </c>
      <c r="E4" s="44">
        <v>1</v>
      </c>
      <c r="F4" s="44">
        <v>1</v>
      </c>
      <c r="G4" s="44">
        <v>0</v>
      </c>
      <c r="H4" s="44">
        <v>1</v>
      </c>
      <c r="I4" s="44" t="s">
        <v>30</v>
      </c>
      <c r="J4" s="44" t="s">
        <v>31</v>
      </c>
      <c r="L4"/>
      <c r="M4"/>
      <c r="N4"/>
      <c r="O4"/>
      <c r="P4"/>
      <c r="Q4"/>
      <c r="R4"/>
      <c r="S4"/>
      <c r="T4"/>
      <c r="U4"/>
    </row>
    <row r="5" spans="1:21">
      <c r="A5" s="30">
        <v>4</v>
      </c>
      <c r="B5" s="30">
        <v>9413</v>
      </c>
      <c r="C5" s="44">
        <v>19</v>
      </c>
      <c r="D5" s="41">
        <v>120000</v>
      </c>
      <c r="E5" s="44">
        <v>1</v>
      </c>
      <c r="F5" s="44">
        <v>1</v>
      </c>
      <c r="G5" s="44">
        <v>0</v>
      </c>
      <c r="H5" s="44">
        <v>1</v>
      </c>
      <c r="I5" s="44" t="s">
        <v>32</v>
      </c>
      <c r="J5" s="44" t="s">
        <v>31</v>
      </c>
      <c r="L5"/>
      <c r="M5"/>
      <c r="N5"/>
      <c r="O5"/>
      <c r="P5"/>
      <c r="Q5"/>
      <c r="R5"/>
      <c r="S5"/>
      <c r="T5"/>
      <c r="U5"/>
    </row>
    <row r="6" spans="1:21">
      <c r="A6" s="30">
        <v>5</v>
      </c>
      <c r="B6" s="30">
        <v>9414</v>
      </c>
      <c r="C6" s="44">
        <v>18</v>
      </c>
      <c r="D6" s="41">
        <v>120000</v>
      </c>
      <c r="E6" s="44">
        <v>1</v>
      </c>
      <c r="F6" s="44">
        <v>1</v>
      </c>
      <c r="G6" s="44">
        <v>0</v>
      </c>
      <c r="H6" s="44">
        <v>1</v>
      </c>
      <c r="I6" s="44" t="s">
        <v>32</v>
      </c>
      <c r="J6" s="44" t="s">
        <v>31</v>
      </c>
      <c r="L6"/>
      <c r="M6"/>
      <c r="N6"/>
      <c r="O6"/>
      <c r="P6"/>
      <c r="Q6"/>
      <c r="R6"/>
      <c r="S6"/>
      <c r="T6"/>
      <c r="U6"/>
    </row>
    <row r="7" spans="1:21">
      <c r="A7" s="30">
        <v>6</v>
      </c>
      <c r="B7" s="30">
        <v>9415</v>
      </c>
      <c r="C7" s="40">
        <v>14</v>
      </c>
      <c r="D7" s="41">
        <v>480000</v>
      </c>
      <c r="E7" s="42">
        <v>3</v>
      </c>
      <c r="F7" s="42">
        <v>2</v>
      </c>
      <c r="G7" s="42">
        <v>0</v>
      </c>
      <c r="H7" s="42">
        <v>2</v>
      </c>
      <c r="I7" s="42" t="s">
        <v>32</v>
      </c>
      <c r="J7" s="43" t="s">
        <v>29</v>
      </c>
      <c r="L7"/>
      <c r="M7"/>
      <c r="N7"/>
      <c r="O7"/>
      <c r="P7"/>
      <c r="Q7"/>
      <c r="R7"/>
      <c r="S7"/>
      <c r="T7"/>
      <c r="U7"/>
    </row>
    <row r="8" spans="1:21">
      <c r="A8" s="30">
        <v>7</v>
      </c>
      <c r="B8" s="30">
        <v>9416</v>
      </c>
      <c r="C8" s="55" t="s">
        <v>33</v>
      </c>
      <c r="D8" s="56"/>
      <c r="E8" s="56"/>
      <c r="F8" s="56"/>
      <c r="G8" s="56"/>
      <c r="H8" s="56"/>
      <c r="I8" s="56"/>
      <c r="J8" s="57"/>
      <c r="L8"/>
      <c r="M8"/>
      <c r="N8"/>
      <c r="O8"/>
      <c r="P8"/>
      <c r="Q8"/>
      <c r="R8"/>
      <c r="S8"/>
      <c r="T8"/>
      <c r="U8"/>
    </row>
    <row r="9" spans="1:21">
      <c r="A9" s="30">
        <v>8</v>
      </c>
      <c r="B9" s="30">
        <v>9417</v>
      </c>
      <c r="C9" s="48" t="s">
        <v>34</v>
      </c>
      <c r="D9" s="49"/>
      <c r="E9" s="49"/>
      <c r="F9" s="49"/>
      <c r="G9" s="49"/>
      <c r="H9" s="49"/>
      <c r="I9" s="49"/>
      <c r="J9" s="50"/>
      <c r="L9"/>
      <c r="M9"/>
      <c r="N9"/>
      <c r="O9"/>
      <c r="P9"/>
      <c r="Q9"/>
      <c r="R9"/>
      <c r="S9"/>
      <c r="T9"/>
      <c r="U9"/>
    </row>
    <row r="10" spans="1:21">
      <c r="A10" s="30">
        <v>9</v>
      </c>
      <c r="B10" s="30">
        <v>9418</v>
      </c>
      <c r="C10" s="48" t="s">
        <v>34</v>
      </c>
      <c r="D10" s="49"/>
      <c r="E10" s="49"/>
      <c r="F10" s="49"/>
      <c r="G10" s="49"/>
      <c r="H10" s="49"/>
      <c r="I10" s="49"/>
      <c r="J10" s="50"/>
      <c r="L10"/>
      <c r="M10"/>
      <c r="N10"/>
      <c r="O10"/>
      <c r="P10"/>
      <c r="Q10"/>
      <c r="R10"/>
      <c r="S10"/>
      <c r="T10"/>
      <c r="U10"/>
    </row>
    <row r="11" spans="1:21">
      <c r="A11" s="30">
        <v>10</v>
      </c>
      <c r="B11" s="30">
        <v>9419</v>
      </c>
      <c r="C11" s="48" t="s">
        <v>34</v>
      </c>
      <c r="D11" s="49"/>
      <c r="E11" s="49"/>
      <c r="F11" s="49"/>
      <c r="G11" s="49"/>
      <c r="H11" s="49"/>
      <c r="I11" s="49"/>
      <c r="J11" s="50"/>
      <c r="L11"/>
      <c r="M11"/>
      <c r="N11"/>
      <c r="O11"/>
      <c r="P11"/>
      <c r="Q11"/>
      <c r="R11"/>
      <c r="S11"/>
      <c r="T11"/>
      <c r="U11"/>
    </row>
    <row r="12" spans="1:21">
      <c r="A12" s="30">
        <v>11</v>
      </c>
      <c r="B12" s="30">
        <v>9420</v>
      </c>
      <c r="C12" s="48" t="s">
        <v>34</v>
      </c>
      <c r="D12" s="49"/>
      <c r="E12" s="49"/>
      <c r="F12" s="49"/>
      <c r="G12" s="49"/>
      <c r="H12" s="49"/>
      <c r="I12" s="49"/>
      <c r="J12" s="50"/>
      <c r="L12"/>
      <c r="M12"/>
      <c r="N12"/>
      <c r="O12"/>
      <c r="P12"/>
      <c r="Q12"/>
      <c r="R12"/>
      <c r="S12"/>
      <c r="T12"/>
      <c r="U12"/>
    </row>
    <row r="13" spans="1:21">
      <c r="A13" s="30">
        <v>12</v>
      </c>
      <c r="B13" s="30">
        <v>9421</v>
      </c>
      <c r="C13" s="48" t="s">
        <v>34</v>
      </c>
      <c r="D13" s="49"/>
      <c r="E13" s="49"/>
      <c r="F13" s="49"/>
      <c r="G13" s="49"/>
      <c r="H13" s="49"/>
      <c r="I13" s="49"/>
      <c r="J13" s="50"/>
      <c r="L13"/>
      <c r="M13"/>
      <c r="N13"/>
      <c r="O13"/>
      <c r="P13"/>
      <c r="Q13"/>
      <c r="R13"/>
      <c r="S13"/>
      <c r="T13"/>
      <c r="U13"/>
    </row>
    <row r="14" spans="1:21">
      <c r="A14" s="30">
        <v>13</v>
      </c>
      <c r="B14" s="30">
        <v>9422</v>
      </c>
      <c r="C14" s="48" t="s">
        <v>34</v>
      </c>
      <c r="D14" s="49"/>
      <c r="E14" s="49"/>
      <c r="F14" s="49"/>
      <c r="G14" s="49"/>
      <c r="H14" s="49"/>
      <c r="I14" s="49"/>
      <c r="J14" s="50"/>
      <c r="L14"/>
      <c r="M14"/>
      <c r="N14"/>
      <c r="O14"/>
      <c r="P14"/>
      <c r="Q14"/>
      <c r="R14"/>
      <c r="S14"/>
      <c r="T14"/>
      <c r="U14"/>
    </row>
    <row r="15" spans="1:21">
      <c r="A15" s="30">
        <v>14</v>
      </c>
      <c r="B15" s="30">
        <v>9423</v>
      </c>
      <c r="C15" s="48" t="s">
        <v>34</v>
      </c>
      <c r="D15" s="49"/>
      <c r="E15" s="49"/>
      <c r="F15" s="49"/>
      <c r="G15" s="49"/>
      <c r="H15" s="49"/>
      <c r="I15" s="49"/>
      <c r="J15" s="50"/>
      <c r="L15"/>
      <c r="M15"/>
      <c r="N15"/>
      <c r="O15"/>
      <c r="P15"/>
      <c r="Q15"/>
      <c r="R15"/>
      <c r="S15"/>
      <c r="T15"/>
      <c r="U15"/>
    </row>
    <row r="16" spans="1:21">
      <c r="A16" s="30">
        <v>15</v>
      </c>
      <c r="B16" s="30">
        <v>9424</v>
      </c>
      <c r="C16" s="48" t="s">
        <v>34</v>
      </c>
      <c r="D16" s="49"/>
      <c r="E16" s="49"/>
      <c r="F16" s="49"/>
      <c r="G16" s="49"/>
      <c r="H16" s="49"/>
      <c r="I16" s="49"/>
      <c r="J16" s="50"/>
      <c r="L16"/>
      <c r="M16"/>
      <c r="N16"/>
      <c r="O16"/>
      <c r="P16"/>
      <c r="Q16"/>
      <c r="R16"/>
      <c r="S16"/>
      <c r="T16"/>
      <c r="U16"/>
    </row>
    <row r="17" spans="1:21">
      <c r="A17" s="30">
        <v>16</v>
      </c>
      <c r="B17" s="30">
        <v>9425</v>
      </c>
      <c r="C17" s="48" t="s">
        <v>34</v>
      </c>
      <c r="D17" s="49"/>
      <c r="E17" s="49"/>
      <c r="F17" s="49"/>
      <c r="G17" s="49"/>
      <c r="H17" s="49"/>
      <c r="I17" s="49"/>
      <c r="J17" s="50"/>
      <c r="L17"/>
      <c r="M17"/>
      <c r="N17"/>
      <c r="O17"/>
      <c r="P17"/>
      <c r="Q17"/>
      <c r="R17"/>
      <c r="S17"/>
      <c r="T17"/>
      <c r="U17"/>
    </row>
    <row r="18" spans="1:21">
      <c r="A18" s="30">
        <v>17</v>
      </c>
      <c r="B18" s="30">
        <v>9426</v>
      </c>
      <c r="C18" s="44">
        <v>104</v>
      </c>
      <c r="D18" s="41">
        <v>180000</v>
      </c>
      <c r="E18" s="44">
        <v>1</v>
      </c>
      <c r="F18" s="44">
        <v>2</v>
      </c>
      <c r="G18" s="44">
        <v>0</v>
      </c>
      <c r="H18" s="44">
        <v>2</v>
      </c>
      <c r="I18" s="44" t="s">
        <v>32</v>
      </c>
      <c r="J18" s="44" t="s">
        <v>29</v>
      </c>
      <c r="L18"/>
      <c r="M18"/>
      <c r="N18"/>
      <c r="O18"/>
      <c r="P18"/>
      <c r="Q18"/>
      <c r="R18"/>
      <c r="S18"/>
      <c r="T18"/>
      <c r="U18"/>
    </row>
    <row r="19" spans="1:21">
      <c r="A19" s="30">
        <v>18</v>
      </c>
      <c r="B19" s="30">
        <v>9427</v>
      </c>
      <c r="C19" s="44">
        <v>104</v>
      </c>
      <c r="D19" s="41">
        <v>180000</v>
      </c>
      <c r="E19" s="44">
        <v>1</v>
      </c>
      <c r="F19" s="44">
        <v>2</v>
      </c>
      <c r="G19" s="44">
        <v>0</v>
      </c>
      <c r="H19" s="44">
        <v>2</v>
      </c>
      <c r="I19" s="44" t="s">
        <v>32</v>
      </c>
      <c r="J19" s="44" t="s">
        <v>29</v>
      </c>
      <c r="L19"/>
      <c r="M19"/>
      <c r="N19"/>
      <c r="O19"/>
      <c r="P19"/>
      <c r="Q19"/>
      <c r="R19"/>
      <c r="S19"/>
      <c r="T19"/>
      <c r="U19"/>
    </row>
    <row r="20" spans="1:21">
      <c r="A20" s="30">
        <v>19</v>
      </c>
      <c r="B20" s="30">
        <v>9428</v>
      </c>
      <c r="C20" s="44">
        <v>18</v>
      </c>
      <c r="D20" s="41">
        <v>180000</v>
      </c>
      <c r="E20" s="44">
        <v>1</v>
      </c>
      <c r="F20" s="44">
        <v>2</v>
      </c>
      <c r="G20" s="44">
        <v>0</v>
      </c>
      <c r="H20" s="44">
        <v>2</v>
      </c>
      <c r="I20" s="44" t="s">
        <v>32</v>
      </c>
      <c r="J20" s="44" t="s">
        <v>29</v>
      </c>
      <c r="L20"/>
      <c r="M20"/>
      <c r="N20"/>
      <c r="O20"/>
      <c r="P20"/>
      <c r="Q20"/>
      <c r="R20"/>
      <c r="S20"/>
      <c r="T20"/>
      <c r="U20"/>
    </row>
    <row r="21" spans="1:21">
      <c r="A21" s="30">
        <v>20</v>
      </c>
      <c r="B21" s="30">
        <v>9429</v>
      </c>
      <c r="C21" s="44">
        <v>104</v>
      </c>
      <c r="D21" s="41">
        <v>180000</v>
      </c>
      <c r="E21" s="44">
        <v>1</v>
      </c>
      <c r="F21" s="44">
        <v>2</v>
      </c>
      <c r="G21" s="44">
        <v>0</v>
      </c>
      <c r="H21" s="44">
        <v>2</v>
      </c>
      <c r="I21" s="44" t="s">
        <v>32</v>
      </c>
      <c r="J21" s="44" t="s">
        <v>29</v>
      </c>
      <c r="L21"/>
      <c r="M21"/>
      <c r="N21"/>
      <c r="O21"/>
      <c r="P21"/>
      <c r="Q21"/>
      <c r="R21"/>
      <c r="S21"/>
      <c r="T21"/>
      <c r="U21"/>
    </row>
    <row r="22" spans="1:21">
      <c r="A22" s="30">
        <v>21</v>
      </c>
      <c r="B22" s="30">
        <v>9430</v>
      </c>
      <c r="C22" s="44">
        <v>105</v>
      </c>
      <c r="D22" s="41">
        <v>280000</v>
      </c>
      <c r="E22" s="44">
        <v>2</v>
      </c>
      <c r="F22" s="44">
        <v>1</v>
      </c>
      <c r="G22" s="44">
        <v>0</v>
      </c>
      <c r="H22" s="44">
        <v>1</v>
      </c>
      <c r="I22" s="44" t="s">
        <v>32</v>
      </c>
      <c r="J22" s="44" t="s">
        <v>29</v>
      </c>
      <c r="L22"/>
      <c r="M22"/>
      <c r="N22"/>
      <c r="O22"/>
      <c r="P22"/>
      <c r="Q22"/>
      <c r="R22"/>
      <c r="S22"/>
      <c r="T22"/>
      <c r="U22"/>
    </row>
    <row r="23" spans="1:21">
      <c r="A23" s="30">
        <v>22</v>
      </c>
      <c r="B23" s="30">
        <v>9431</v>
      </c>
      <c r="C23" s="44">
        <v>104</v>
      </c>
      <c r="D23" s="41">
        <v>280000</v>
      </c>
      <c r="E23" s="44">
        <v>2</v>
      </c>
      <c r="F23" s="44">
        <v>1</v>
      </c>
      <c r="G23" s="44">
        <v>0</v>
      </c>
      <c r="H23" s="44">
        <v>1</v>
      </c>
      <c r="I23" s="44" t="s">
        <v>32</v>
      </c>
      <c r="J23" s="44" t="s">
        <v>29</v>
      </c>
      <c r="L23"/>
      <c r="M23"/>
      <c r="N23"/>
      <c r="O23"/>
      <c r="P23"/>
      <c r="Q23"/>
      <c r="R23"/>
      <c r="S23"/>
      <c r="T23"/>
      <c r="U23"/>
    </row>
    <row r="24" spans="1:21">
      <c r="A24" s="30">
        <v>23</v>
      </c>
      <c r="B24" s="30">
        <v>9432</v>
      </c>
      <c r="C24" s="55" t="s">
        <v>33</v>
      </c>
      <c r="D24" s="56"/>
      <c r="E24" s="56"/>
      <c r="F24" s="56"/>
      <c r="G24" s="56"/>
      <c r="H24" s="56"/>
      <c r="I24" s="56"/>
      <c r="J24" s="57"/>
      <c r="L24"/>
      <c r="M24"/>
      <c r="N24"/>
      <c r="O24"/>
      <c r="P24"/>
      <c r="Q24"/>
      <c r="R24"/>
      <c r="S24"/>
      <c r="T24"/>
      <c r="U24"/>
    </row>
    <row r="25" spans="1:21">
      <c r="A25" s="30">
        <v>24</v>
      </c>
      <c r="B25" s="30">
        <v>9433</v>
      </c>
      <c r="C25" s="44">
        <v>105</v>
      </c>
      <c r="D25" s="41">
        <v>180000</v>
      </c>
      <c r="E25" s="44">
        <v>1</v>
      </c>
      <c r="F25" s="44">
        <v>2</v>
      </c>
      <c r="G25" s="44">
        <v>0</v>
      </c>
      <c r="H25" s="44">
        <v>2</v>
      </c>
      <c r="I25" s="44" t="s">
        <v>32</v>
      </c>
      <c r="J25" s="44" t="s">
        <v>29</v>
      </c>
      <c r="L25"/>
      <c r="M25"/>
      <c r="N25"/>
      <c r="O25"/>
      <c r="P25"/>
      <c r="Q25"/>
      <c r="R25"/>
      <c r="S25"/>
      <c r="T25"/>
      <c r="U25"/>
    </row>
    <row r="26" spans="1:21">
      <c r="A26" s="30">
        <v>25</v>
      </c>
      <c r="B26" s="30">
        <v>9434</v>
      </c>
      <c r="C26" s="52" t="s">
        <v>35</v>
      </c>
      <c r="D26" s="53"/>
      <c r="E26" s="53"/>
      <c r="F26" s="53"/>
      <c r="G26" s="53"/>
      <c r="H26" s="53"/>
      <c r="I26" s="53"/>
      <c r="J26" s="54"/>
      <c r="L26"/>
      <c r="M26"/>
      <c r="N26"/>
      <c r="O26"/>
      <c r="P26"/>
      <c r="Q26"/>
      <c r="R26"/>
      <c r="S26"/>
      <c r="T26"/>
      <c r="U26"/>
    </row>
    <row r="27" spans="1:21">
      <c r="A27" s="30">
        <v>26</v>
      </c>
      <c r="B27" s="30">
        <v>9435</v>
      </c>
      <c r="C27" s="44">
        <v>202</v>
      </c>
      <c r="D27" s="41">
        <v>540000</v>
      </c>
      <c r="E27" s="44">
        <v>3</v>
      </c>
      <c r="F27" s="44">
        <v>2</v>
      </c>
      <c r="G27" s="44">
        <v>0</v>
      </c>
      <c r="H27" s="44">
        <v>2</v>
      </c>
      <c r="I27" s="44" t="s">
        <v>32</v>
      </c>
      <c r="J27" s="44" t="s">
        <v>29</v>
      </c>
      <c r="L27"/>
      <c r="M27"/>
      <c r="N27"/>
      <c r="O27"/>
      <c r="P27"/>
      <c r="Q27"/>
      <c r="R27"/>
      <c r="S27"/>
      <c r="T27"/>
      <c r="U27"/>
    </row>
    <row r="28" spans="1:21">
      <c r="A28" s="30">
        <v>27</v>
      </c>
      <c r="B28" s="30">
        <v>9436</v>
      </c>
      <c r="C28" s="44">
        <v>201</v>
      </c>
      <c r="D28" s="41">
        <v>180000</v>
      </c>
      <c r="E28" s="44">
        <v>1</v>
      </c>
      <c r="F28" s="44">
        <v>2</v>
      </c>
      <c r="G28" s="44">
        <v>0</v>
      </c>
      <c r="H28" s="44">
        <v>2</v>
      </c>
      <c r="I28" s="44" t="s">
        <v>32</v>
      </c>
      <c r="J28" s="44" t="s">
        <v>29</v>
      </c>
      <c r="L28"/>
      <c r="M28"/>
      <c r="N28"/>
      <c r="O28"/>
      <c r="P28"/>
      <c r="Q28"/>
      <c r="R28"/>
      <c r="S28"/>
      <c r="T28"/>
      <c r="U28"/>
    </row>
    <row r="29" spans="1:21">
      <c r="A29" s="30">
        <v>28</v>
      </c>
      <c r="B29" s="30">
        <v>9437</v>
      </c>
      <c r="C29" s="44">
        <v>108</v>
      </c>
      <c r="D29" s="41">
        <v>180000</v>
      </c>
      <c r="E29" s="44">
        <v>1</v>
      </c>
      <c r="F29" s="44">
        <v>2</v>
      </c>
      <c r="G29" s="44">
        <v>0</v>
      </c>
      <c r="H29" s="44">
        <v>2</v>
      </c>
      <c r="I29" s="44" t="s">
        <v>32</v>
      </c>
      <c r="J29" s="44" t="s">
        <v>29</v>
      </c>
      <c r="L29"/>
      <c r="M29"/>
      <c r="N29"/>
      <c r="O29"/>
      <c r="P29"/>
      <c r="Q29"/>
      <c r="R29"/>
      <c r="S29"/>
      <c r="T29"/>
      <c r="U29"/>
    </row>
    <row r="30" spans="1:21">
      <c r="A30" s="30">
        <v>29</v>
      </c>
      <c r="B30" s="30">
        <v>9438</v>
      </c>
      <c r="C30" s="44">
        <v>17</v>
      </c>
      <c r="D30" s="41">
        <v>280000</v>
      </c>
      <c r="E30" s="44">
        <v>1</v>
      </c>
      <c r="F30" s="44">
        <v>2</v>
      </c>
      <c r="G30" s="44">
        <v>1</v>
      </c>
      <c r="H30" s="44">
        <v>3</v>
      </c>
      <c r="I30" s="44" t="s">
        <v>32</v>
      </c>
      <c r="J30" s="44" t="s">
        <v>29</v>
      </c>
      <c r="L30"/>
      <c r="M30"/>
      <c r="N30"/>
      <c r="O30"/>
      <c r="P30"/>
      <c r="Q30"/>
      <c r="R30"/>
      <c r="S30"/>
      <c r="T30"/>
      <c r="U30"/>
    </row>
    <row r="31" spans="1:21">
      <c r="A31" s="30">
        <v>30</v>
      </c>
      <c r="B31" s="30">
        <v>9439</v>
      </c>
      <c r="C31" s="44">
        <v>106</v>
      </c>
      <c r="D31" s="41"/>
      <c r="E31" s="44"/>
      <c r="F31" s="44">
        <v>2</v>
      </c>
      <c r="G31" s="44">
        <v>1</v>
      </c>
      <c r="H31" s="44">
        <v>3</v>
      </c>
      <c r="I31" s="44" t="s">
        <v>32</v>
      </c>
      <c r="J31" s="44" t="s">
        <v>29</v>
      </c>
      <c r="L31"/>
      <c r="M31"/>
      <c r="N31"/>
      <c r="O31"/>
      <c r="P31"/>
      <c r="Q31"/>
      <c r="R31"/>
      <c r="S31"/>
      <c r="T31"/>
      <c r="U31"/>
    </row>
    <row r="32" spans="1:21">
      <c r="A32" s="30">
        <v>31</v>
      </c>
      <c r="B32" s="30">
        <v>9440</v>
      </c>
      <c r="C32" s="44">
        <v>102</v>
      </c>
      <c r="D32" s="41"/>
      <c r="E32" s="44"/>
      <c r="F32" s="44">
        <v>1</v>
      </c>
      <c r="G32" s="44">
        <v>2</v>
      </c>
      <c r="H32" s="44">
        <v>3</v>
      </c>
      <c r="I32" s="44" t="s">
        <v>28</v>
      </c>
      <c r="J32" s="44" t="s">
        <v>29</v>
      </c>
      <c r="L32" s="10"/>
      <c r="M32" s="10"/>
      <c r="N32" s="10"/>
      <c r="O32" s="15"/>
      <c r="P32" s="10"/>
      <c r="Q32" s="10"/>
      <c r="R32" s="10"/>
      <c r="S32" s="10"/>
      <c r="T32" s="10"/>
      <c r="U32" s="10"/>
    </row>
    <row r="33" spans="1:22">
      <c r="A33" s="30">
        <v>32</v>
      </c>
      <c r="B33" s="30">
        <v>9441</v>
      </c>
      <c r="C33" s="44">
        <v>105</v>
      </c>
      <c r="D33" s="41"/>
      <c r="E33" s="44"/>
      <c r="F33" s="44">
        <v>2</v>
      </c>
      <c r="G33" s="44">
        <v>0</v>
      </c>
      <c r="H33" s="44">
        <v>2</v>
      </c>
      <c r="I33" s="44" t="s">
        <v>32</v>
      </c>
      <c r="J33" s="44" t="s">
        <v>29</v>
      </c>
      <c r="L33" s="10"/>
      <c r="M33" s="10"/>
      <c r="N33" s="10"/>
      <c r="O33" s="24"/>
      <c r="P33" s="10"/>
      <c r="Q33" s="10"/>
      <c r="R33" s="10"/>
      <c r="S33" s="10"/>
      <c r="T33" s="10"/>
      <c r="U33" s="10"/>
    </row>
    <row r="34" spans="1:22">
      <c r="A34" s="30">
        <v>33</v>
      </c>
      <c r="B34" s="30">
        <v>9442</v>
      </c>
      <c r="C34" s="44">
        <v>103</v>
      </c>
      <c r="D34" s="44"/>
      <c r="E34" s="44"/>
      <c r="F34" s="44">
        <v>2</v>
      </c>
      <c r="G34" s="44">
        <v>2</v>
      </c>
      <c r="H34" s="44">
        <v>4</v>
      </c>
      <c r="I34" s="44" t="s">
        <v>13</v>
      </c>
      <c r="J34" s="44" t="s">
        <v>29</v>
      </c>
      <c r="K34" s="5"/>
      <c r="L34"/>
      <c r="M34"/>
      <c r="N34"/>
      <c r="O34"/>
      <c r="P34"/>
      <c r="Q34" s="18"/>
      <c r="R34" s="18"/>
      <c r="S34" s="18"/>
      <c r="T34" s="18"/>
      <c r="U34" s="18"/>
      <c r="V34" s="2"/>
    </row>
    <row r="35" spans="1:22">
      <c r="A35" s="30">
        <v>34</v>
      </c>
      <c r="B35" s="30">
        <v>9443</v>
      </c>
      <c r="C35" s="44">
        <v>201</v>
      </c>
      <c r="D35" s="41">
        <v>360000</v>
      </c>
      <c r="E35" s="44">
        <v>2</v>
      </c>
      <c r="F35" s="44">
        <v>2</v>
      </c>
      <c r="G35" s="44">
        <v>0</v>
      </c>
      <c r="H35" s="44">
        <v>2</v>
      </c>
      <c r="I35" s="44" t="s">
        <v>32</v>
      </c>
      <c r="J35" s="44" t="s">
        <v>29</v>
      </c>
      <c r="K35" s="5"/>
      <c r="L35"/>
      <c r="M35"/>
      <c r="N35"/>
      <c r="O35"/>
      <c r="P35"/>
      <c r="Q35" s="12"/>
      <c r="R35" s="25"/>
      <c r="S35" s="25"/>
      <c r="T35" s="12"/>
      <c r="U35" s="12"/>
      <c r="V35" s="2"/>
    </row>
    <row r="36" spans="1:22">
      <c r="A36" s="30">
        <v>35</v>
      </c>
      <c r="B36" s="30">
        <v>9444</v>
      </c>
      <c r="C36" s="76" t="s">
        <v>36</v>
      </c>
      <c r="D36" s="77"/>
      <c r="E36" s="77"/>
      <c r="F36" s="77"/>
      <c r="G36" s="77"/>
      <c r="H36" s="77"/>
      <c r="I36" s="77"/>
      <c r="J36" s="78"/>
      <c r="K36" s="5"/>
      <c r="L36"/>
      <c r="M36"/>
      <c r="N36"/>
      <c r="O36"/>
      <c r="P36"/>
      <c r="Q36" s="18"/>
      <c r="R36" s="18"/>
      <c r="S36" s="18"/>
      <c r="T36" s="18"/>
      <c r="U36" s="18"/>
      <c r="V36" s="2"/>
    </row>
    <row r="37" spans="1:22">
      <c r="A37" s="30">
        <v>36</v>
      </c>
      <c r="B37" s="30">
        <v>9445</v>
      </c>
      <c r="C37" s="76" t="s">
        <v>36</v>
      </c>
      <c r="D37" s="77"/>
      <c r="E37" s="77"/>
      <c r="F37" s="77"/>
      <c r="G37" s="77"/>
      <c r="H37" s="77"/>
      <c r="I37" s="77"/>
      <c r="J37" s="78"/>
      <c r="K37" s="5"/>
      <c r="L37"/>
      <c r="M37"/>
      <c r="N37"/>
      <c r="O37"/>
      <c r="P37"/>
      <c r="Q37" s="12"/>
      <c r="R37" s="25"/>
      <c r="S37" s="25"/>
      <c r="T37" s="12"/>
      <c r="U37" s="12"/>
      <c r="V37" s="2"/>
    </row>
    <row r="38" spans="1:22">
      <c r="A38" s="30">
        <v>37</v>
      </c>
      <c r="B38" s="30">
        <v>9446</v>
      </c>
      <c r="C38" s="44">
        <v>108</v>
      </c>
      <c r="D38" s="41">
        <v>180000</v>
      </c>
      <c r="E38" s="44">
        <v>1</v>
      </c>
      <c r="F38" s="44">
        <v>2</v>
      </c>
      <c r="G38" s="44">
        <v>0</v>
      </c>
      <c r="H38" s="44">
        <v>2</v>
      </c>
      <c r="I38" s="44" t="s">
        <v>32</v>
      </c>
      <c r="J38" s="44" t="s">
        <v>29</v>
      </c>
      <c r="K38" s="5"/>
      <c r="L38"/>
      <c r="M38"/>
      <c r="N38"/>
      <c r="O38"/>
      <c r="P38"/>
      <c r="Q38" s="12"/>
      <c r="R38" s="25"/>
      <c r="S38" s="25"/>
      <c r="T38" s="12"/>
      <c r="U38" s="12"/>
      <c r="V38" s="2"/>
    </row>
    <row r="39" spans="1:22">
      <c r="A39" s="30">
        <v>38</v>
      </c>
      <c r="B39" s="30">
        <v>9447</v>
      </c>
      <c r="C39" s="44">
        <v>107</v>
      </c>
      <c r="D39" s="41">
        <v>180000</v>
      </c>
      <c r="E39" s="44">
        <v>1</v>
      </c>
      <c r="F39" s="44">
        <v>2</v>
      </c>
      <c r="G39" s="44">
        <v>0</v>
      </c>
      <c r="H39" s="44">
        <v>2</v>
      </c>
      <c r="I39" s="44" t="s">
        <v>13</v>
      </c>
      <c r="J39" s="44" t="s">
        <v>29</v>
      </c>
      <c r="K39" s="5"/>
      <c r="L39"/>
      <c r="M39"/>
      <c r="N39"/>
      <c r="O39"/>
      <c r="P39"/>
      <c r="Q39" s="12"/>
      <c r="R39" s="25"/>
      <c r="S39" s="25"/>
      <c r="T39" s="12"/>
      <c r="U39" s="12"/>
      <c r="V39" s="2"/>
    </row>
    <row r="40" spans="1:22">
      <c r="A40" s="30">
        <v>39</v>
      </c>
      <c r="B40" s="30">
        <v>9448</v>
      </c>
      <c r="C40" s="44"/>
      <c r="D40" s="44"/>
      <c r="E40" s="44"/>
      <c r="F40" s="44"/>
      <c r="G40" s="44"/>
      <c r="H40" s="44"/>
      <c r="I40" s="44"/>
      <c r="J40" s="44"/>
      <c r="K40" s="5"/>
      <c r="L40"/>
      <c r="M40"/>
      <c r="N40"/>
      <c r="O40"/>
      <c r="P40"/>
      <c r="Q40" s="12"/>
      <c r="R40" s="25"/>
      <c r="S40" s="25"/>
      <c r="T40" s="12"/>
      <c r="U40" s="12"/>
      <c r="V40" s="2"/>
    </row>
    <row r="41" spans="1:22">
      <c r="A41" s="30">
        <v>40</v>
      </c>
      <c r="B41" s="30">
        <v>9449</v>
      </c>
      <c r="C41" s="76" t="s">
        <v>36</v>
      </c>
      <c r="D41" s="77"/>
      <c r="E41" s="77"/>
      <c r="F41" s="77"/>
      <c r="G41" s="77"/>
      <c r="H41" s="77"/>
      <c r="I41" s="77"/>
      <c r="J41" s="78"/>
      <c r="K41" s="5"/>
      <c r="L41"/>
      <c r="M41"/>
      <c r="N41"/>
      <c r="O41"/>
      <c r="P41"/>
      <c r="Q41" s="12"/>
      <c r="R41" s="25"/>
      <c r="S41" s="13"/>
      <c r="T41" s="12"/>
      <c r="U41" s="12"/>
      <c r="V41" s="2"/>
    </row>
    <row r="42" spans="1:22">
      <c r="A42" s="30">
        <v>41</v>
      </c>
      <c r="B42" s="30">
        <v>9450</v>
      </c>
      <c r="C42" s="44">
        <v>109</v>
      </c>
      <c r="D42" s="41">
        <v>280000</v>
      </c>
      <c r="E42" s="44">
        <v>2</v>
      </c>
      <c r="F42" s="44">
        <v>1</v>
      </c>
      <c r="G42" s="44">
        <v>0</v>
      </c>
      <c r="H42" s="44">
        <v>1</v>
      </c>
      <c r="I42" s="44" t="s">
        <v>32</v>
      </c>
      <c r="J42" s="44" t="s">
        <v>29</v>
      </c>
      <c r="K42" s="5"/>
      <c r="L42"/>
      <c r="M42"/>
      <c r="N42"/>
      <c r="O42"/>
      <c r="P42"/>
      <c r="Q42" s="12"/>
      <c r="R42" s="25"/>
      <c r="S42" s="13"/>
      <c r="T42" s="12"/>
      <c r="U42" s="12"/>
      <c r="V42" s="1"/>
    </row>
    <row r="43" spans="1:22">
      <c r="A43" s="30">
        <v>42</v>
      </c>
      <c r="B43" s="30">
        <v>9451</v>
      </c>
      <c r="C43" s="76" t="s">
        <v>36</v>
      </c>
      <c r="D43" s="77"/>
      <c r="E43" s="77"/>
      <c r="F43" s="77"/>
      <c r="G43" s="77"/>
      <c r="H43" s="77"/>
      <c r="I43" s="77"/>
      <c r="J43" s="78"/>
      <c r="K43" s="5"/>
      <c r="L43"/>
      <c r="M43"/>
      <c r="N43"/>
      <c r="O43"/>
      <c r="P43"/>
      <c r="Q43" s="12"/>
      <c r="R43" s="25"/>
      <c r="S43" s="13"/>
      <c r="T43" s="12"/>
      <c r="U43" s="12"/>
      <c r="V43" s="1"/>
    </row>
    <row r="44" spans="1:22">
      <c r="A44" s="30">
        <v>43</v>
      </c>
      <c r="B44" s="30">
        <v>9452</v>
      </c>
      <c r="C44" s="44">
        <v>104</v>
      </c>
      <c r="D44" s="41">
        <v>180000</v>
      </c>
      <c r="E44" s="44">
        <v>1</v>
      </c>
      <c r="F44" s="44">
        <v>2</v>
      </c>
      <c r="G44" s="44">
        <v>0</v>
      </c>
      <c r="H44" s="44">
        <v>2</v>
      </c>
      <c r="I44" s="44" t="s">
        <v>32</v>
      </c>
      <c r="J44" s="44" t="s">
        <v>29</v>
      </c>
      <c r="K44" s="5"/>
      <c r="L44"/>
      <c r="M44"/>
      <c r="N44"/>
      <c r="O44"/>
      <c r="P44"/>
      <c r="Q44" s="12"/>
      <c r="R44" s="25"/>
      <c r="S44" s="13"/>
      <c r="T44" s="12"/>
      <c r="U44" s="12"/>
      <c r="V44" s="1"/>
    </row>
    <row r="45" spans="1:22">
      <c r="A45" s="30">
        <v>44</v>
      </c>
      <c r="B45" s="30">
        <v>9453</v>
      </c>
      <c r="C45" s="44">
        <v>109</v>
      </c>
      <c r="D45" s="41">
        <v>500000</v>
      </c>
      <c r="E45" s="44">
        <v>3</v>
      </c>
      <c r="F45" s="44">
        <v>2</v>
      </c>
      <c r="G45" s="44">
        <v>0</v>
      </c>
      <c r="H45" s="44">
        <v>2</v>
      </c>
      <c r="I45" s="44" t="s">
        <v>13</v>
      </c>
      <c r="J45" s="44" t="s">
        <v>29</v>
      </c>
      <c r="K45" s="5"/>
      <c r="L45"/>
      <c r="M45"/>
      <c r="N45"/>
      <c r="O45"/>
      <c r="P45"/>
      <c r="Q45" s="12"/>
      <c r="R45" s="25"/>
      <c r="S45" s="13"/>
      <c r="T45" s="12"/>
      <c r="U45" s="12"/>
      <c r="V45" s="1"/>
    </row>
    <row r="46" spans="1:22">
      <c r="A46" s="30">
        <v>45</v>
      </c>
      <c r="B46" s="30">
        <v>9454</v>
      </c>
      <c r="C46" s="44">
        <v>107</v>
      </c>
      <c r="D46" s="41">
        <v>280000</v>
      </c>
      <c r="E46" s="44">
        <v>2</v>
      </c>
      <c r="F46" s="44">
        <v>1</v>
      </c>
      <c r="G46" s="44">
        <v>0</v>
      </c>
      <c r="H46" s="44">
        <v>1</v>
      </c>
      <c r="I46" s="44" t="s">
        <v>32</v>
      </c>
      <c r="J46" s="44" t="s">
        <v>29</v>
      </c>
      <c r="K46" s="5"/>
      <c r="L46"/>
      <c r="M46"/>
      <c r="N46"/>
      <c r="O46"/>
      <c r="P46"/>
      <c r="Q46" s="12"/>
      <c r="R46" s="25"/>
      <c r="S46" s="13"/>
      <c r="T46" s="12"/>
      <c r="U46" s="12"/>
      <c r="V46" s="2"/>
    </row>
    <row r="47" spans="1:22">
      <c r="A47" s="30">
        <v>46</v>
      </c>
      <c r="B47" s="30">
        <v>9455</v>
      </c>
      <c r="C47" s="44">
        <v>108</v>
      </c>
      <c r="D47" s="41">
        <v>420000</v>
      </c>
      <c r="E47" s="44">
        <v>3</v>
      </c>
      <c r="F47" s="44">
        <v>1</v>
      </c>
      <c r="G47" s="44">
        <v>0</v>
      </c>
      <c r="H47" s="44">
        <v>1</v>
      </c>
      <c r="I47" s="44" t="s">
        <v>13</v>
      </c>
      <c r="J47" s="44" t="s">
        <v>29</v>
      </c>
      <c r="K47" s="5"/>
      <c r="L47"/>
      <c r="M47"/>
      <c r="N47"/>
      <c r="O47"/>
      <c r="P47"/>
      <c r="Q47" s="12"/>
      <c r="R47" s="25"/>
      <c r="S47" s="13"/>
      <c r="T47" s="12"/>
      <c r="U47" s="12"/>
      <c r="V47" s="1"/>
    </row>
    <row r="48" spans="1:22">
      <c r="A48" s="30">
        <v>47</v>
      </c>
      <c r="B48" s="30">
        <v>9456</v>
      </c>
      <c r="C48" s="44">
        <v>102</v>
      </c>
      <c r="D48" s="41">
        <v>280000</v>
      </c>
      <c r="E48" s="44">
        <v>1</v>
      </c>
      <c r="F48" s="44">
        <v>2</v>
      </c>
      <c r="G48" s="44">
        <v>1</v>
      </c>
      <c r="H48" s="44">
        <v>3</v>
      </c>
      <c r="I48" s="44" t="s">
        <v>13</v>
      </c>
      <c r="J48" s="44" t="s">
        <v>29</v>
      </c>
      <c r="K48" s="5"/>
      <c r="L48"/>
      <c r="M48"/>
      <c r="N48"/>
      <c r="O48"/>
      <c r="P48"/>
      <c r="Q48" s="12"/>
      <c r="R48" s="25"/>
      <c r="S48" s="13"/>
      <c r="T48" s="12"/>
      <c r="U48" s="12"/>
      <c r="V48" s="1"/>
    </row>
    <row r="49" spans="1:22">
      <c r="A49" s="30">
        <v>48</v>
      </c>
      <c r="B49" s="30">
        <v>9457</v>
      </c>
      <c r="C49" s="44">
        <v>101</v>
      </c>
      <c r="D49" s="41">
        <v>180000</v>
      </c>
      <c r="E49" s="44">
        <v>1</v>
      </c>
      <c r="F49" s="44">
        <v>2</v>
      </c>
      <c r="G49" s="44">
        <v>0</v>
      </c>
      <c r="H49" s="44">
        <v>2</v>
      </c>
      <c r="I49" s="44" t="s">
        <v>32</v>
      </c>
      <c r="J49" s="44" t="s">
        <v>29</v>
      </c>
      <c r="K49" s="5"/>
      <c r="L49"/>
      <c r="M49"/>
      <c r="N49"/>
      <c r="O49"/>
      <c r="P49"/>
      <c r="Q49" s="12"/>
      <c r="R49" s="25"/>
      <c r="S49" s="13"/>
      <c r="T49" s="12"/>
      <c r="U49" s="12"/>
      <c r="V49" s="2"/>
    </row>
    <row r="50" spans="1:22">
      <c r="A50" s="30">
        <v>49</v>
      </c>
      <c r="B50" s="30">
        <v>9458</v>
      </c>
      <c r="C50" s="44">
        <v>107</v>
      </c>
      <c r="D50" s="41">
        <v>420000</v>
      </c>
      <c r="E50" s="44">
        <v>3</v>
      </c>
      <c r="F50" s="44">
        <v>1</v>
      </c>
      <c r="G50" s="44">
        <v>0</v>
      </c>
      <c r="H50" s="44">
        <v>1</v>
      </c>
      <c r="I50" s="44" t="s">
        <v>13</v>
      </c>
      <c r="J50" s="44" t="s">
        <v>29</v>
      </c>
      <c r="K50" s="5"/>
      <c r="L50"/>
      <c r="M50"/>
      <c r="N50"/>
      <c r="O50"/>
      <c r="P50"/>
      <c r="Q50" s="12"/>
      <c r="R50" s="25"/>
      <c r="S50" s="13"/>
      <c r="T50" s="12"/>
      <c r="U50" s="12"/>
      <c r="V50" s="2"/>
    </row>
    <row r="51" spans="1:22">
      <c r="A51" s="30">
        <v>50</v>
      </c>
      <c r="B51" s="30">
        <v>9459</v>
      </c>
      <c r="C51" s="44">
        <v>108</v>
      </c>
      <c r="D51" s="41">
        <v>540000</v>
      </c>
      <c r="E51" s="44">
        <v>3</v>
      </c>
      <c r="F51" s="44">
        <v>2</v>
      </c>
      <c r="G51" s="44">
        <v>0</v>
      </c>
      <c r="H51" s="44">
        <v>2</v>
      </c>
      <c r="I51" s="44" t="s">
        <v>13</v>
      </c>
      <c r="J51" s="44" t="s">
        <v>29</v>
      </c>
      <c r="K51" s="5"/>
      <c r="L51" s="5"/>
      <c r="M51" s="5"/>
      <c r="N51" s="5"/>
      <c r="O51" s="26"/>
      <c r="P51" s="5"/>
      <c r="Q51" s="12"/>
      <c r="R51" s="5"/>
      <c r="S51" s="13"/>
      <c r="T51" s="12"/>
      <c r="U51" s="12"/>
      <c r="V51" s="2"/>
    </row>
    <row r="52" spans="1:22">
      <c r="A52" s="30">
        <v>51</v>
      </c>
      <c r="B52" s="30">
        <v>9460</v>
      </c>
      <c r="C52" s="44">
        <v>104</v>
      </c>
      <c r="D52" s="41">
        <v>180000</v>
      </c>
      <c r="E52" s="44">
        <v>1</v>
      </c>
      <c r="F52" s="44">
        <v>2</v>
      </c>
      <c r="G52" s="44">
        <v>0</v>
      </c>
      <c r="H52" s="44">
        <v>2</v>
      </c>
      <c r="I52" s="44" t="s">
        <v>13</v>
      </c>
      <c r="J52" s="44" t="s">
        <v>29</v>
      </c>
      <c r="K52" s="5"/>
      <c r="L52" s="10"/>
      <c r="M52" s="5"/>
      <c r="N52" s="5"/>
      <c r="O52" s="26"/>
      <c r="P52" s="5"/>
      <c r="Q52" s="12"/>
      <c r="R52" s="5"/>
      <c r="S52" s="13"/>
      <c r="T52" s="12"/>
      <c r="U52" s="12"/>
      <c r="V52" s="2"/>
    </row>
    <row r="53" spans="1:22">
      <c r="A53" s="30">
        <v>52</v>
      </c>
      <c r="B53" s="30">
        <v>9461</v>
      </c>
      <c r="C53" s="44">
        <v>101</v>
      </c>
      <c r="D53" s="41">
        <v>180000</v>
      </c>
      <c r="E53" s="44">
        <v>1</v>
      </c>
      <c r="F53" s="44">
        <v>2</v>
      </c>
      <c r="G53" s="44">
        <v>0</v>
      </c>
      <c r="H53" s="44">
        <v>2</v>
      </c>
      <c r="I53" s="44" t="s">
        <v>13</v>
      </c>
      <c r="J53" s="44" t="s">
        <v>29</v>
      </c>
      <c r="K53" s="5"/>
      <c r="L53" s="5"/>
      <c r="M53" s="5"/>
      <c r="N53" s="5"/>
      <c r="O53" s="26"/>
      <c r="P53" s="5"/>
      <c r="Q53" s="12"/>
      <c r="R53" s="5"/>
      <c r="S53" s="13"/>
      <c r="T53" s="12"/>
      <c r="U53" s="12"/>
      <c r="V53" s="1"/>
    </row>
    <row r="54" spans="1:22">
      <c r="A54" s="30">
        <v>53</v>
      </c>
      <c r="B54" s="30">
        <v>9462</v>
      </c>
      <c r="C54" s="44">
        <v>20</v>
      </c>
      <c r="D54" s="41">
        <v>180000</v>
      </c>
      <c r="E54" s="44">
        <v>1</v>
      </c>
      <c r="F54" s="44">
        <v>2</v>
      </c>
      <c r="G54" s="44">
        <v>0</v>
      </c>
      <c r="H54" s="44">
        <v>2</v>
      </c>
      <c r="I54" s="44" t="s">
        <v>13</v>
      </c>
      <c r="J54" s="44" t="s">
        <v>29</v>
      </c>
      <c r="K54" s="5"/>
      <c r="L54" s="10"/>
      <c r="M54" s="5"/>
      <c r="N54" s="5"/>
      <c r="O54" s="26"/>
      <c r="P54" s="5"/>
      <c r="Q54" s="12"/>
      <c r="R54" s="5"/>
      <c r="S54" s="13"/>
      <c r="T54" s="12"/>
      <c r="U54" s="12"/>
      <c r="V54" s="1"/>
    </row>
    <row r="55" spans="1:22">
      <c r="A55" s="30">
        <v>54</v>
      </c>
      <c r="B55" s="30">
        <v>9463</v>
      </c>
      <c r="C55" s="44">
        <v>204</v>
      </c>
      <c r="D55" s="41">
        <v>180000</v>
      </c>
      <c r="E55" s="44">
        <v>1</v>
      </c>
      <c r="F55" s="44">
        <v>2</v>
      </c>
      <c r="G55" s="44">
        <v>0</v>
      </c>
      <c r="H55" s="44">
        <v>2</v>
      </c>
      <c r="I55" s="44" t="s">
        <v>13</v>
      </c>
      <c r="J55" s="44" t="s">
        <v>29</v>
      </c>
      <c r="K55" s="5"/>
      <c r="L55" s="5"/>
      <c r="M55" s="5"/>
      <c r="N55" s="5"/>
      <c r="O55" s="26"/>
      <c r="P55" s="5"/>
      <c r="Q55" s="12"/>
      <c r="R55" s="5"/>
      <c r="S55" s="13"/>
      <c r="T55" s="12"/>
      <c r="U55" s="12"/>
      <c r="V55" s="1"/>
    </row>
    <row r="56" spans="1:22">
      <c r="A56" s="30">
        <v>55</v>
      </c>
      <c r="B56" s="30">
        <v>9464</v>
      </c>
      <c r="C56" s="44">
        <v>202</v>
      </c>
      <c r="D56" s="41">
        <v>180000</v>
      </c>
      <c r="E56" s="44">
        <v>1</v>
      </c>
      <c r="F56" s="44">
        <v>2</v>
      </c>
      <c r="G56" s="44">
        <v>0</v>
      </c>
      <c r="H56" s="44">
        <v>2</v>
      </c>
      <c r="I56" s="44" t="s">
        <v>13</v>
      </c>
      <c r="J56" s="44" t="s">
        <v>29</v>
      </c>
      <c r="K56" s="5"/>
      <c r="L56" s="10"/>
      <c r="M56" s="5"/>
      <c r="N56" s="5"/>
      <c r="O56" s="26"/>
      <c r="P56" s="5"/>
      <c r="Q56" s="12"/>
      <c r="R56" s="5"/>
      <c r="S56" s="13"/>
      <c r="T56" s="12"/>
      <c r="U56" s="12"/>
      <c r="V56" s="1"/>
    </row>
    <row r="57" spans="1:22">
      <c r="A57" s="30">
        <v>56</v>
      </c>
      <c r="B57" s="30">
        <v>9465</v>
      </c>
      <c r="C57" s="44">
        <v>15</v>
      </c>
      <c r="D57" s="41">
        <v>180000</v>
      </c>
      <c r="E57" s="44">
        <v>1</v>
      </c>
      <c r="F57" s="44">
        <v>2</v>
      </c>
      <c r="G57" s="44">
        <v>0</v>
      </c>
      <c r="H57" s="44">
        <v>2</v>
      </c>
      <c r="I57" s="44" t="s">
        <v>13</v>
      </c>
      <c r="J57" s="44" t="s">
        <v>29</v>
      </c>
      <c r="K57" s="5"/>
      <c r="L57" s="5"/>
      <c r="M57" s="5"/>
      <c r="N57" s="5"/>
      <c r="O57" s="26"/>
      <c r="P57" s="5"/>
      <c r="Q57" s="12"/>
      <c r="R57" s="5"/>
      <c r="S57" s="13"/>
      <c r="T57" s="12"/>
      <c r="U57" s="12"/>
      <c r="V57" s="1"/>
    </row>
    <row r="58" spans="1:22">
      <c r="A58" s="30">
        <v>57</v>
      </c>
      <c r="B58" s="30">
        <v>9466</v>
      </c>
      <c r="C58" s="44">
        <v>107</v>
      </c>
      <c r="D58" s="41">
        <v>180000</v>
      </c>
      <c r="E58" s="44">
        <v>1</v>
      </c>
      <c r="F58" s="44">
        <v>2</v>
      </c>
      <c r="G58" s="44">
        <v>0</v>
      </c>
      <c r="H58" s="44">
        <v>2</v>
      </c>
      <c r="I58" s="44" t="s">
        <v>13</v>
      </c>
      <c r="J58" s="44" t="s">
        <v>29</v>
      </c>
      <c r="K58" s="5"/>
      <c r="L58" s="10"/>
      <c r="M58" s="5"/>
      <c r="N58" s="5"/>
      <c r="O58" s="26"/>
      <c r="P58" s="5"/>
      <c r="Q58" s="12"/>
      <c r="R58" s="5"/>
      <c r="S58" s="13"/>
      <c r="T58" s="12"/>
      <c r="U58" s="12"/>
      <c r="V58" s="1"/>
    </row>
    <row r="59" spans="1:22">
      <c r="A59" s="30">
        <v>58</v>
      </c>
      <c r="B59" s="30">
        <v>9467</v>
      </c>
      <c r="C59" s="44">
        <v>201</v>
      </c>
      <c r="D59" s="41">
        <v>900000</v>
      </c>
      <c r="E59" s="44">
        <v>5</v>
      </c>
      <c r="F59" s="44">
        <v>2</v>
      </c>
      <c r="G59" s="44">
        <v>0</v>
      </c>
      <c r="H59" s="44">
        <v>2</v>
      </c>
      <c r="I59" s="44" t="s">
        <v>13</v>
      </c>
      <c r="J59" s="44" t="s">
        <v>29</v>
      </c>
      <c r="K59" s="5"/>
      <c r="L59" s="5"/>
      <c r="M59" s="5"/>
      <c r="N59" s="5"/>
      <c r="O59" s="26"/>
      <c r="P59" s="5"/>
      <c r="Q59" s="12"/>
      <c r="R59" s="5"/>
      <c r="S59" s="13"/>
      <c r="T59" s="12"/>
      <c r="U59" s="12"/>
      <c r="V59" s="1"/>
    </row>
    <row r="60" spans="1:22">
      <c r="A60" s="30">
        <v>59</v>
      </c>
      <c r="B60" s="30">
        <v>9468</v>
      </c>
      <c r="C60" s="44">
        <v>102</v>
      </c>
      <c r="D60" s="41">
        <v>900000</v>
      </c>
      <c r="E60" s="44">
        <v>5</v>
      </c>
      <c r="F60" s="44">
        <v>2</v>
      </c>
      <c r="G60" s="44">
        <v>0</v>
      </c>
      <c r="H60" s="44">
        <v>2</v>
      </c>
      <c r="I60" s="44" t="s">
        <v>13</v>
      </c>
      <c r="J60" s="44" t="s">
        <v>29</v>
      </c>
      <c r="K60" s="5"/>
      <c r="L60" s="10"/>
      <c r="M60" s="5"/>
      <c r="N60" s="5"/>
      <c r="O60" s="26"/>
      <c r="P60" s="5"/>
      <c r="Q60" s="12"/>
      <c r="R60" s="5"/>
      <c r="S60" s="13"/>
      <c r="T60" s="12"/>
      <c r="U60" s="12"/>
      <c r="V60" s="1"/>
    </row>
    <row r="61" spans="1:22">
      <c r="A61" s="30">
        <v>60</v>
      </c>
      <c r="B61" s="30">
        <v>9469</v>
      </c>
      <c r="C61" s="44">
        <v>108</v>
      </c>
      <c r="D61" s="41">
        <v>180000</v>
      </c>
      <c r="E61" s="44">
        <v>1</v>
      </c>
      <c r="F61" s="44">
        <v>2</v>
      </c>
      <c r="G61" s="44">
        <v>0</v>
      </c>
      <c r="H61" s="44">
        <v>2</v>
      </c>
      <c r="I61" s="44" t="s">
        <v>13</v>
      </c>
      <c r="J61" s="44" t="s">
        <v>29</v>
      </c>
      <c r="K61" s="5"/>
      <c r="L61" s="5"/>
      <c r="M61" s="5"/>
      <c r="N61" s="5"/>
      <c r="O61" s="26"/>
      <c r="P61" s="5"/>
      <c r="Q61" s="12"/>
      <c r="R61" s="5"/>
      <c r="S61" s="13"/>
      <c r="T61" s="12"/>
      <c r="U61" s="12"/>
      <c r="V61" s="1"/>
    </row>
    <row r="62" spans="1:22">
      <c r="A62" s="30">
        <v>61</v>
      </c>
      <c r="B62" s="30">
        <v>9470</v>
      </c>
      <c r="C62" s="40">
        <v>20</v>
      </c>
      <c r="D62" s="41">
        <v>540000</v>
      </c>
      <c r="E62" s="42">
        <v>3</v>
      </c>
      <c r="F62" s="42">
        <v>2</v>
      </c>
      <c r="G62" s="42">
        <v>0</v>
      </c>
      <c r="H62" s="42">
        <v>2</v>
      </c>
      <c r="I62" s="42" t="s">
        <v>13</v>
      </c>
      <c r="J62" s="43" t="s">
        <v>29</v>
      </c>
      <c r="K62" s="5"/>
      <c r="L62" s="10"/>
      <c r="M62" s="5"/>
      <c r="N62" s="5"/>
      <c r="O62" s="26"/>
      <c r="P62" s="5"/>
      <c r="Q62" s="12"/>
      <c r="R62" s="5"/>
      <c r="S62" s="13"/>
      <c r="T62" s="12"/>
      <c r="U62" s="12"/>
      <c r="V62" s="1"/>
    </row>
    <row r="63" spans="1:22">
      <c r="A63" s="30">
        <v>62</v>
      </c>
      <c r="B63" s="30">
        <v>9471</v>
      </c>
      <c r="C63" s="44">
        <v>101</v>
      </c>
      <c r="D63" s="41">
        <v>400000</v>
      </c>
      <c r="E63" s="44">
        <v>1</v>
      </c>
      <c r="F63" s="44">
        <v>2</v>
      </c>
      <c r="G63" s="44">
        <v>2</v>
      </c>
      <c r="H63" s="44">
        <v>4</v>
      </c>
      <c r="I63" s="44" t="s">
        <v>13</v>
      </c>
      <c r="J63" s="44" t="s">
        <v>29</v>
      </c>
      <c r="K63" s="5"/>
      <c r="L63" s="5"/>
      <c r="M63" s="5"/>
      <c r="N63" s="5"/>
      <c r="O63" s="26"/>
      <c r="P63" s="5"/>
      <c r="Q63" s="12"/>
      <c r="R63" s="5"/>
      <c r="S63" s="13"/>
      <c r="T63" s="12"/>
      <c r="U63" s="12"/>
      <c r="V63" s="1"/>
    </row>
    <row r="64" spans="1:22">
      <c r="A64" s="30">
        <v>63</v>
      </c>
      <c r="B64" s="30">
        <v>9472</v>
      </c>
      <c r="C64" s="44">
        <v>17</v>
      </c>
      <c r="D64" s="41">
        <v>364000</v>
      </c>
      <c r="E64" s="44">
        <v>1</v>
      </c>
      <c r="F64" s="44">
        <v>3</v>
      </c>
      <c r="G64" s="44">
        <v>1</v>
      </c>
      <c r="H64" s="44">
        <v>4</v>
      </c>
      <c r="I64" s="44" t="s">
        <v>13</v>
      </c>
      <c r="J64" s="44" t="s">
        <v>29</v>
      </c>
      <c r="K64" s="5"/>
      <c r="L64" s="10"/>
      <c r="M64" s="5"/>
      <c r="N64" s="5"/>
      <c r="O64" s="11"/>
      <c r="P64" s="5"/>
      <c r="Q64" s="12"/>
      <c r="R64" s="5"/>
      <c r="S64" s="13"/>
      <c r="T64" s="13"/>
      <c r="U64" s="12"/>
      <c r="V64" s="1"/>
    </row>
    <row r="65" spans="1:22">
      <c r="A65" s="30">
        <v>64</v>
      </c>
      <c r="B65" s="30">
        <v>9473</v>
      </c>
      <c r="C65" s="40">
        <v>18</v>
      </c>
      <c r="D65" s="41">
        <v>280000</v>
      </c>
      <c r="E65" s="42">
        <v>1</v>
      </c>
      <c r="F65" s="42">
        <v>3</v>
      </c>
      <c r="G65" s="42">
        <v>0</v>
      </c>
      <c r="H65" s="42">
        <v>3</v>
      </c>
      <c r="I65" s="42" t="s">
        <v>13</v>
      </c>
      <c r="J65" s="43" t="s">
        <v>29</v>
      </c>
      <c r="K65" s="5"/>
      <c r="L65" s="5"/>
      <c r="M65" s="5"/>
      <c r="N65" s="5"/>
      <c r="O65" s="26"/>
      <c r="P65" s="5"/>
      <c r="Q65" s="12"/>
      <c r="R65" s="5"/>
      <c r="S65" s="13"/>
      <c r="T65" s="13"/>
      <c r="U65" s="12"/>
      <c r="V65" s="1"/>
    </row>
    <row r="66" spans="1:22">
      <c r="A66" s="30">
        <v>65</v>
      </c>
      <c r="B66" s="30">
        <v>9474</v>
      </c>
      <c r="C66" s="45">
        <v>101</v>
      </c>
      <c r="D66" s="41">
        <v>230000</v>
      </c>
      <c r="E66" s="46">
        <v>1</v>
      </c>
      <c r="F66" s="46">
        <v>2</v>
      </c>
      <c r="G66" s="46">
        <v>1</v>
      </c>
      <c r="H66" s="46">
        <v>3</v>
      </c>
      <c r="I66" s="46" t="s">
        <v>13</v>
      </c>
      <c r="J66" s="47" t="s">
        <v>29</v>
      </c>
      <c r="K66" s="5"/>
      <c r="L66" s="10"/>
      <c r="M66" s="5"/>
      <c r="N66" s="5"/>
      <c r="O66" s="26"/>
      <c r="P66" s="5"/>
      <c r="Q66" s="12"/>
      <c r="R66" s="5"/>
      <c r="S66" s="13"/>
      <c r="T66" s="13"/>
      <c r="U66" s="12"/>
      <c r="V66" s="1"/>
    </row>
    <row r="67" spans="1:22">
      <c r="A67" s="30">
        <v>66</v>
      </c>
      <c r="B67" s="30">
        <v>9475</v>
      </c>
      <c r="C67" s="79" t="s">
        <v>37</v>
      </c>
      <c r="D67" s="80"/>
      <c r="E67" s="80"/>
      <c r="F67" s="80"/>
      <c r="G67" s="80"/>
      <c r="H67" s="80"/>
      <c r="I67" s="80"/>
      <c r="J67" s="81"/>
      <c r="K67" s="5"/>
      <c r="L67" s="5"/>
      <c r="M67" s="5"/>
      <c r="N67" s="5"/>
      <c r="O67" s="26"/>
      <c r="P67" s="5"/>
      <c r="Q67" s="12"/>
      <c r="R67" s="5"/>
      <c r="S67" s="13"/>
      <c r="T67" s="13"/>
      <c r="U67" s="12"/>
      <c r="V67" s="1"/>
    </row>
    <row r="68" spans="1:22">
      <c r="A68" s="30">
        <v>67</v>
      </c>
      <c r="B68" s="30">
        <v>9476</v>
      </c>
      <c r="C68" s="79" t="s">
        <v>37</v>
      </c>
      <c r="D68" s="80"/>
      <c r="E68" s="80"/>
      <c r="F68" s="80"/>
      <c r="G68" s="80"/>
      <c r="H68" s="80"/>
      <c r="I68" s="80"/>
      <c r="J68" s="81"/>
      <c r="K68" s="5"/>
      <c r="L68" s="18"/>
      <c r="M68" s="5"/>
      <c r="N68" s="5"/>
      <c r="O68" s="26"/>
      <c r="P68" s="5"/>
      <c r="Q68" s="12"/>
      <c r="R68" s="5"/>
      <c r="S68" s="13"/>
      <c r="T68" s="13"/>
      <c r="U68" s="12"/>
      <c r="V68" s="1"/>
    </row>
    <row r="69" spans="1:22">
      <c r="A69" s="30">
        <v>68</v>
      </c>
      <c r="B69" s="30">
        <v>9477</v>
      </c>
      <c r="C69" s="79" t="s">
        <v>37</v>
      </c>
      <c r="D69" s="80"/>
      <c r="E69" s="80"/>
      <c r="F69" s="80"/>
      <c r="G69" s="80"/>
      <c r="H69" s="80"/>
      <c r="I69" s="80"/>
      <c r="J69" s="81"/>
      <c r="K69" s="5"/>
      <c r="L69" s="5"/>
      <c r="M69" s="51"/>
      <c r="N69" s="51"/>
      <c r="O69" s="51"/>
      <c r="P69" s="5"/>
      <c r="Q69" s="12"/>
      <c r="R69" s="5"/>
      <c r="S69" s="13"/>
      <c r="T69" s="13"/>
      <c r="U69" s="12"/>
      <c r="V69" s="1"/>
    </row>
    <row r="70" spans="1:22">
      <c r="A70" s="30">
        <v>69</v>
      </c>
      <c r="B70" s="30">
        <v>9478</v>
      </c>
      <c r="C70" s="79" t="s">
        <v>37</v>
      </c>
      <c r="D70" s="80"/>
      <c r="E70" s="80"/>
      <c r="F70" s="80"/>
      <c r="G70" s="80"/>
      <c r="H70" s="80"/>
      <c r="I70" s="80"/>
      <c r="J70" s="81"/>
      <c r="K70" s="5"/>
      <c r="L70" s="10"/>
      <c r="M70" s="5"/>
      <c r="N70" s="5"/>
      <c r="O70" s="26"/>
      <c r="P70" s="5"/>
      <c r="Q70" s="12"/>
      <c r="R70" s="5"/>
      <c r="S70" s="14"/>
      <c r="T70" s="14"/>
      <c r="U70" s="12"/>
      <c r="V70" s="1"/>
    </row>
    <row r="71" spans="1:22">
      <c r="A71" s="30">
        <v>70</v>
      </c>
      <c r="B71" s="30">
        <v>9479</v>
      </c>
      <c r="C71" s="79" t="s">
        <v>37</v>
      </c>
      <c r="D71" s="80"/>
      <c r="E71" s="80"/>
      <c r="F71" s="80"/>
      <c r="G71" s="80"/>
      <c r="H71" s="80"/>
      <c r="I71" s="80"/>
      <c r="J71" s="81"/>
      <c r="K71" s="5"/>
      <c r="L71" s="5"/>
      <c r="M71" s="5"/>
      <c r="N71" s="5"/>
      <c r="O71" s="11"/>
      <c r="P71" s="5"/>
      <c r="Q71" s="5"/>
      <c r="R71" s="5"/>
      <c r="S71" s="14"/>
      <c r="T71" s="14"/>
      <c r="U71" s="12"/>
      <c r="V71" s="1"/>
    </row>
    <row r="72" spans="1:22">
      <c r="A72" s="30">
        <v>71</v>
      </c>
      <c r="B72" s="30">
        <v>9480</v>
      </c>
      <c r="C72" s="79" t="s">
        <v>37</v>
      </c>
      <c r="D72" s="80"/>
      <c r="E72" s="80"/>
      <c r="F72" s="80"/>
      <c r="G72" s="80"/>
      <c r="H72" s="80"/>
      <c r="I72" s="80"/>
      <c r="J72" s="81"/>
      <c r="K72" s="5"/>
      <c r="L72" s="10"/>
      <c r="M72" s="5"/>
      <c r="N72" s="5"/>
      <c r="O72" s="11"/>
      <c r="P72" s="5"/>
      <c r="Q72" s="5"/>
      <c r="R72" s="5"/>
      <c r="S72" s="14"/>
      <c r="T72" s="14"/>
      <c r="U72" s="12"/>
      <c r="V72" s="1"/>
    </row>
    <row r="73" spans="1:22">
      <c r="A73" s="30">
        <v>72</v>
      </c>
      <c r="B73" s="30">
        <v>9481</v>
      </c>
      <c r="C73" s="30"/>
      <c r="D73" s="36"/>
      <c r="E73" s="7"/>
      <c r="F73" s="7"/>
      <c r="G73" s="7"/>
      <c r="H73" s="7"/>
      <c r="I73" s="30"/>
      <c r="J73" s="30"/>
      <c r="K73" s="5"/>
      <c r="L73" s="5"/>
      <c r="M73" s="5"/>
      <c r="N73" s="5"/>
      <c r="O73" s="11"/>
      <c r="P73" s="5"/>
      <c r="Q73" s="5"/>
      <c r="R73" s="5"/>
      <c r="S73" s="14"/>
      <c r="T73" s="14"/>
      <c r="U73" s="12"/>
      <c r="V73" s="1"/>
    </row>
    <row r="74" spans="1:22">
      <c r="A74" s="30">
        <v>73</v>
      </c>
      <c r="B74" s="30">
        <v>9482</v>
      </c>
      <c r="C74" s="30"/>
      <c r="D74" s="36"/>
      <c r="E74" s="7"/>
      <c r="F74" s="7"/>
      <c r="G74" s="7"/>
      <c r="H74" s="7"/>
      <c r="I74" s="30"/>
      <c r="J74" s="30"/>
      <c r="K74" s="5"/>
      <c r="L74" s="5"/>
      <c r="M74" s="5"/>
      <c r="N74" s="5"/>
      <c r="O74" s="11"/>
      <c r="P74" s="5"/>
      <c r="Q74" s="5"/>
      <c r="R74" s="5"/>
      <c r="S74" s="14"/>
      <c r="T74" s="14"/>
      <c r="U74" s="12"/>
      <c r="V74" s="1"/>
    </row>
    <row r="75" spans="1:22">
      <c r="A75" s="30">
        <v>74</v>
      </c>
      <c r="B75" s="30">
        <v>9483</v>
      </c>
      <c r="C75" s="30"/>
      <c r="D75" s="36"/>
      <c r="E75" s="7"/>
      <c r="F75" s="7"/>
      <c r="G75" s="7"/>
      <c r="H75" s="7"/>
      <c r="I75" s="30"/>
      <c r="J75" s="30"/>
      <c r="K75" s="10"/>
      <c r="L75" s="10"/>
      <c r="M75" s="10"/>
      <c r="N75" s="10"/>
      <c r="O75" s="15"/>
      <c r="P75" s="10"/>
      <c r="Q75" s="10"/>
      <c r="R75" s="10"/>
      <c r="S75" s="16"/>
      <c r="T75" s="16"/>
      <c r="V75" s="4"/>
    </row>
    <row r="76" spans="1:22">
      <c r="A76" s="30">
        <v>75</v>
      </c>
      <c r="B76" s="30">
        <v>9484</v>
      </c>
      <c r="C76" s="30"/>
      <c r="D76" s="36"/>
      <c r="E76" s="7"/>
      <c r="F76" s="7"/>
      <c r="G76" s="7"/>
      <c r="H76" s="7"/>
      <c r="I76" s="30"/>
      <c r="J76" s="30"/>
      <c r="K76" s="5"/>
      <c r="L76" s="5"/>
      <c r="M76" s="5"/>
      <c r="N76" s="5"/>
      <c r="O76" s="11"/>
      <c r="P76" s="5"/>
      <c r="Q76" s="5"/>
      <c r="R76" s="5"/>
      <c r="S76" s="14"/>
      <c r="T76" s="14"/>
      <c r="U76" s="12"/>
      <c r="V76" s="1"/>
    </row>
    <row r="77" spans="1:22">
      <c r="A77" s="30">
        <v>76</v>
      </c>
      <c r="B77" s="30">
        <v>9485</v>
      </c>
      <c r="C77" s="82"/>
      <c r="D77" s="36"/>
      <c r="E77" s="83"/>
      <c r="F77" s="83"/>
      <c r="G77" s="83"/>
      <c r="H77" s="83"/>
      <c r="I77" s="83"/>
      <c r="J77" s="84"/>
      <c r="K77" s="5"/>
      <c r="L77" s="5"/>
      <c r="M77" s="5"/>
      <c r="N77" s="5"/>
      <c r="O77" s="11"/>
      <c r="P77" s="5"/>
      <c r="Q77" s="5"/>
      <c r="R77" s="5"/>
      <c r="S77" s="14"/>
      <c r="T77" s="14"/>
      <c r="U77" s="17"/>
      <c r="V77" s="2"/>
    </row>
    <row r="78" spans="1:22">
      <c r="A78" s="30">
        <v>77</v>
      </c>
      <c r="B78" s="30">
        <v>9486</v>
      </c>
      <c r="C78" s="30"/>
      <c r="D78" s="36"/>
      <c r="E78" s="7"/>
      <c r="F78" s="7"/>
      <c r="G78" s="7"/>
      <c r="H78" s="7"/>
      <c r="I78" s="30"/>
      <c r="J78" s="30"/>
      <c r="K78" s="5"/>
      <c r="L78" s="5"/>
      <c r="M78" s="5"/>
      <c r="N78" s="5"/>
      <c r="O78" s="11"/>
      <c r="P78" s="5"/>
      <c r="Q78" s="5"/>
      <c r="R78" s="5"/>
      <c r="S78" s="14"/>
      <c r="T78" s="14"/>
      <c r="U78" s="12"/>
      <c r="V78" s="1"/>
    </row>
    <row r="79" spans="1:22">
      <c r="A79" s="30">
        <v>78</v>
      </c>
      <c r="B79" s="30">
        <v>9487</v>
      </c>
      <c r="C79" s="30"/>
      <c r="D79" s="36"/>
      <c r="E79" s="7"/>
      <c r="F79" s="7"/>
      <c r="G79" s="7"/>
      <c r="H79" s="7"/>
      <c r="I79" s="30"/>
      <c r="J79" s="30"/>
      <c r="K79" s="5"/>
      <c r="L79" s="5"/>
      <c r="M79" s="5"/>
      <c r="N79" s="5"/>
      <c r="O79" s="11"/>
      <c r="P79" s="5"/>
      <c r="Q79" s="5"/>
      <c r="R79" s="5"/>
      <c r="S79" s="14"/>
      <c r="T79" s="14"/>
      <c r="U79" s="12"/>
      <c r="V79" s="1"/>
    </row>
    <row r="80" spans="1:22">
      <c r="A80" s="30">
        <v>79</v>
      </c>
      <c r="B80" s="30">
        <v>9488</v>
      </c>
      <c r="C80" s="30"/>
      <c r="D80" s="36"/>
      <c r="E80" s="7"/>
      <c r="F80" s="7"/>
      <c r="G80" s="7"/>
      <c r="H80" s="7"/>
      <c r="I80" s="30"/>
      <c r="J80" s="30"/>
      <c r="K80" s="5"/>
      <c r="L80" s="5"/>
      <c r="M80" s="5"/>
      <c r="N80" s="5"/>
      <c r="O80" s="11"/>
      <c r="P80" s="5"/>
      <c r="Q80" s="12"/>
      <c r="R80" s="5"/>
      <c r="S80" s="14"/>
      <c r="T80" s="14"/>
      <c r="U80" s="12"/>
      <c r="V80" s="1"/>
    </row>
    <row r="81" spans="2:22">
      <c r="B81" s="5"/>
      <c r="C81" s="9" t="s">
        <v>25</v>
      </c>
      <c r="D81" s="38">
        <f>SUM(D2:D80)</f>
        <v>12514000</v>
      </c>
      <c r="E81" s="18"/>
      <c r="F81" s="18"/>
      <c r="G81" s="18"/>
      <c r="H81" s="18"/>
      <c r="I81" s="27"/>
      <c r="J81" s="37"/>
      <c r="K81" s="5"/>
      <c r="M81" s="5"/>
      <c r="O81" s="39" t="s">
        <v>24</v>
      </c>
      <c r="P81" s="8">
        <f>COUNTIF(J:J,"*VACACIONES*")</f>
        <v>44</v>
      </c>
      <c r="Q81" s="12"/>
      <c r="R81" s="5"/>
      <c r="S81" s="14"/>
      <c r="T81" s="14"/>
      <c r="U81" s="12"/>
      <c r="V81" s="1"/>
    </row>
    <row r="82" spans="2:22">
      <c r="B82" s="5"/>
      <c r="C82" s="5"/>
      <c r="D82" s="20"/>
      <c r="E82" s="5"/>
      <c r="F82" s="14"/>
      <c r="G82" s="14"/>
      <c r="H82" s="5"/>
      <c r="I82" s="21"/>
      <c r="J82" s="21"/>
      <c r="K82" s="5"/>
      <c r="L82" s="5"/>
      <c r="M82" s="5"/>
      <c r="O82" s="39" t="s">
        <v>23</v>
      </c>
      <c r="P82" s="8">
        <f>COUNTIF(J:J,"*TRABAJO*")</f>
        <v>3</v>
      </c>
      <c r="Q82" s="12"/>
      <c r="R82" s="5"/>
      <c r="S82" s="14"/>
      <c r="T82" s="14"/>
      <c r="U82" s="12"/>
      <c r="V82" s="1"/>
    </row>
    <row r="83" spans="2:22">
      <c r="B83" s="5"/>
      <c r="C83" s="5"/>
      <c r="D83" s="20"/>
      <c r="E83" s="5"/>
      <c r="F83" s="5"/>
      <c r="G83" s="5"/>
      <c r="H83" s="5"/>
      <c r="I83" s="21"/>
      <c r="J83" s="21"/>
      <c r="K83" s="5"/>
      <c r="L83" s="5"/>
      <c r="M83" s="5"/>
      <c r="N83" s="5"/>
      <c r="O83" s="39" t="s">
        <v>26</v>
      </c>
      <c r="P83" s="8">
        <f>SUM(H2:H80)</f>
        <v>97</v>
      </c>
      <c r="Q83" s="12"/>
      <c r="R83" s="5"/>
      <c r="S83" s="5"/>
      <c r="T83" s="5"/>
      <c r="U83" s="12"/>
      <c r="V83" s="1"/>
    </row>
    <row r="84" spans="2:22">
      <c r="B84" s="5"/>
      <c r="C84" s="5"/>
      <c r="D84" s="11"/>
      <c r="E84" s="5"/>
      <c r="F84" s="5"/>
      <c r="G84" s="5"/>
      <c r="H84" s="5"/>
      <c r="I84" s="21"/>
      <c r="J84" s="21"/>
      <c r="K84" s="5"/>
      <c r="L84" s="5"/>
      <c r="M84" s="5"/>
      <c r="N84" s="5"/>
      <c r="Q84" s="5"/>
      <c r="R84" s="5"/>
      <c r="S84" s="5"/>
      <c r="T84" s="5"/>
      <c r="U84" s="5"/>
      <c r="V84" s="1"/>
    </row>
    <row r="85" spans="2:22">
      <c r="B85" s="5"/>
      <c r="C85" s="5"/>
      <c r="D85" s="11"/>
      <c r="E85" s="5"/>
      <c r="F85" s="5"/>
      <c r="G85" s="5"/>
      <c r="H85" s="5"/>
      <c r="I85" s="21"/>
      <c r="J85" s="21"/>
      <c r="K85" s="5"/>
      <c r="L85" s="5"/>
      <c r="M85" s="5"/>
      <c r="N85" s="5"/>
      <c r="O85" s="19"/>
      <c r="P85" s="5"/>
      <c r="Q85" s="5"/>
      <c r="R85" s="5"/>
      <c r="S85" s="5"/>
      <c r="T85" s="5"/>
      <c r="U85" s="5"/>
      <c r="V85" s="3"/>
    </row>
    <row r="86" spans="2:22">
      <c r="B86" s="5"/>
      <c r="C86" s="5"/>
      <c r="D86" s="11"/>
      <c r="E86" s="5"/>
      <c r="F86" s="5"/>
      <c r="G86" s="5"/>
      <c r="H86" s="5"/>
      <c r="I86" s="21"/>
      <c r="J86" s="21"/>
      <c r="K86" s="5"/>
      <c r="L86" s="5"/>
      <c r="M86" s="5"/>
      <c r="N86" s="5"/>
      <c r="O86" s="19"/>
      <c r="P86" s="5"/>
      <c r="Q86" s="5"/>
      <c r="R86" s="5"/>
      <c r="S86" s="5"/>
      <c r="T86" s="5"/>
      <c r="U86" s="5"/>
      <c r="V86" s="2"/>
    </row>
    <row r="87" spans="2:22">
      <c r="B87" s="5"/>
      <c r="C87" s="5"/>
      <c r="D87" s="11"/>
      <c r="E87" s="5"/>
      <c r="F87" s="5"/>
      <c r="G87" s="5"/>
      <c r="H87" s="5"/>
      <c r="I87" s="21"/>
      <c r="J87" s="21"/>
      <c r="K87" s="5"/>
      <c r="L87" s="5"/>
      <c r="M87" s="5"/>
      <c r="N87" s="5"/>
      <c r="O87" s="19"/>
      <c r="P87" s="5"/>
      <c r="Q87" s="5"/>
      <c r="R87" s="5"/>
      <c r="S87" s="5"/>
      <c r="T87" s="5"/>
      <c r="U87" s="5"/>
      <c r="V87" s="2"/>
    </row>
    <row r="88" spans="2:22">
      <c r="B88" s="5"/>
      <c r="C88" s="5"/>
      <c r="D88" s="11"/>
      <c r="E88" s="5"/>
      <c r="F88" s="5"/>
      <c r="G88" s="5"/>
      <c r="H88" s="5"/>
      <c r="I88" s="21"/>
      <c r="J88" s="21"/>
      <c r="K88" s="5"/>
      <c r="L88" s="5"/>
      <c r="M88" s="5"/>
      <c r="N88" s="5"/>
      <c r="O88" s="19"/>
      <c r="P88" s="5"/>
      <c r="Q88" s="5"/>
      <c r="R88" s="5"/>
      <c r="S88" s="5"/>
      <c r="T88" s="5"/>
      <c r="U88" s="5"/>
      <c r="V88" s="2"/>
    </row>
    <row r="89" spans="2:22">
      <c r="B89" s="5"/>
      <c r="C89" s="5"/>
      <c r="D89" s="11"/>
      <c r="E89" s="5"/>
      <c r="F89" s="5"/>
      <c r="G89" s="5"/>
      <c r="H89" s="5"/>
      <c r="I89" s="21"/>
      <c r="J89" s="21"/>
      <c r="K89" s="5"/>
      <c r="L89" s="5"/>
      <c r="M89" s="5"/>
      <c r="N89" s="5"/>
      <c r="O89" s="19"/>
      <c r="P89" s="5"/>
      <c r="Q89" s="5"/>
      <c r="R89" s="5"/>
      <c r="S89" s="5"/>
      <c r="T89" s="5"/>
      <c r="U89" s="5"/>
      <c r="V89" s="2"/>
    </row>
    <row r="90" spans="2:22">
      <c r="B90" s="5"/>
      <c r="C90" s="5"/>
      <c r="D90" s="11"/>
      <c r="E90" s="5"/>
      <c r="F90" s="5"/>
      <c r="G90" s="5"/>
      <c r="H90" s="5"/>
      <c r="I90" s="21"/>
      <c r="J90" s="21"/>
      <c r="K90" s="5"/>
      <c r="L90" s="5"/>
      <c r="M90" s="5"/>
      <c r="N90" s="5"/>
      <c r="O90" s="19"/>
      <c r="P90" s="5"/>
      <c r="Q90" s="5"/>
      <c r="R90" s="5"/>
      <c r="S90" s="5"/>
      <c r="T90" s="5"/>
      <c r="U90" s="5"/>
      <c r="V90" s="2"/>
    </row>
    <row r="91" spans="2:22">
      <c r="B91" s="5"/>
      <c r="C91" s="5"/>
      <c r="D91" s="11"/>
      <c r="E91" s="5"/>
      <c r="F91" s="5"/>
      <c r="G91" s="5"/>
      <c r="H91" s="5"/>
      <c r="I91" s="21"/>
      <c r="J91" s="21"/>
      <c r="K91" s="5"/>
      <c r="L91" s="5"/>
      <c r="M91" s="5"/>
      <c r="N91" s="5"/>
      <c r="O91" s="19"/>
      <c r="P91" s="5"/>
      <c r="Q91" s="5"/>
      <c r="R91" s="5"/>
      <c r="S91" s="5"/>
      <c r="T91" s="5"/>
      <c r="U91" s="5"/>
      <c r="V91" s="2"/>
    </row>
    <row r="92" spans="2:22">
      <c r="B92" s="5"/>
      <c r="C92" s="5"/>
      <c r="D92" s="11"/>
      <c r="E92" s="5"/>
      <c r="F92" s="5"/>
      <c r="G92" s="5"/>
      <c r="H92" s="5"/>
      <c r="I92" s="21"/>
      <c r="J92" s="21"/>
      <c r="K92" s="5"/>
      <c r="L92" s="5"/>
      <c r="M92" s="5"/>
      <c r="N92" s="5"/>
      <c r="O92" s="19"/>
      <c r="P92" s="5"/>
      <c r="Q92" s="5"/>
      <c r="R92" s="5"/>
      <c r="S92" s="5"/>
      <c r="T92" s="5"/>
      <c r="U92" s="5"/>
      <c r="V92" s="2"/>
    </row>
    <row r="93" spans="2:22">
      <c r="B93" s="5"/>
      <c r="C93" s="5"/>
      <c r="D93" s="11"/>
      <c r="E93" s="5"/>
      <c r="F93" s="5"/>
      <c r="G93" s="5"/>
      <c r="H93" s="5"/>
      <c r="I93" s="21"/>
      <c r="J93" s="21"/>
      <c r="K93" s="5"/>
      <c r="L93" s="5"/>
      <c r="M93" s="5"/>
      <c r="N93" s="5"/>
      <c r="O93" s="19"/>
      <c r="P93" s="5"/>
      <c r="Q93" s="5"/>
      <c r="R93" s="5"/>
      <c r="S93" s="5"/>
      <c r="T93" s="5"/>
      <c r="U93" s="5"/>
      <c r="V93" s="2"/>
    </row>
    <row r="94" spans="2:22">
      <c r="B94" s="5"/>
      <c r="C94" s="5"/>
      <c r="D94" s="11"/>
      <c r="E94" s="5"/>
      <c r="F94" s="5"/>
      <c r="G94" s="5"/>
      <c r="H94" s="5"/>
      <c r="I94" s="21"/>
      <c r="J94" s="21"/>
      <c r="K94" s="5"/>
      <c r="L94" s="5"/>
      <c r="M94" s="5"/>
      <c r="N94" s="5"/>
      <c r="O94" s="19"/>
      <c r="P94" s="5"/>
      <c r="Q94" s="5"/>
      <c r="R94" s="5"/>
      <c r="S94" s="5"/>
      <c r="T94" s="5"/>
      <c r="U94" s="5"/>
      <c r="V94" s="2"/>
    </row>
    <row r="95" spans="2:22">
      <c r="B95" s="5"/>
      <c r="C95" s="5"/>
      <c r="D95" s="11"/>
      <c r="E95" s="5"/>
      <c r="F95" s="5"/>
      <c r="G95" s="5"/>
      <c r="H95" s="5"/>
      <c r="I95" s="21"/>
      <c r="J95" s="21"/>
      <c r="K95" s="5"/>
      <c r="L95" s="5"/>
      <c r="M95" s="5"/>
      <c r="N95" s="5"/>
      <c r="O95" s="19"/>
      <c r="P95" s="5"/>
      <c r="Q95" s="5"/>
      <c r="R95" s="5"/>
      <c r="S95" s="5"/>
      <c r="T95" s="5"/>
      <c r="U95" s="5"/>
      <c r="V95" s="2"/>
    </row>
    <row r="96" spans="2:22">
      <c r="B96" s="5"/>
      <c r="C96" s="5"/>
      <c r="D96" s="11"/>
      <c r="E96" s="5"/>
      <c r="F96" s="5"/>
      <c r="G96" s="5"/>
      <c r="H96" s="5"/>
      <c r="I96" s="21"/>
      <c r="J96" s="21"/>
      <c r="K96" s="5"/>
      <c r="L96" s="5"/>
      <c r="M96" s="5"/>
      <c r="N96" s="5"/>
      <c r="O96" s="19"/>
      <c r="P96" s="5"/>
      <c r="Q96" s="5"/>
      <c r="R96" s="5"/>
      <c r="S96" s="5"/>
      <c r="T96" s="5"/>
      <c r="U96" s="5"/>
      <c r="V96" s="2"/>
    </row>
    <row r="97" spans="2:22">
      <c r="B97" s="5"/>
      <c r="C97" s="5"/>
      <c r="D97" s="11"/>
      <c r="E97" s="5"/>
      <c r="F97" s="5"/>
      <c r="G97" s="5"/>
      <c r="H97" s="5"/>
      <c r="I97" s="21"/>
      <c r="J97" s="21"/>
      <c r="K97" s="5"/>
      <c r="L97" s="5"/>
      <c r="M97" s="5"/>
      <c r="N97" s="5"/>
      <c r="O97" s="19"/>
      <c r="P97" s="5"/>
      <c r="Q97" s="5"/>
      <c r="R97" s="5"/>
      <c r="S97" s="5"/>
      <c r="T97" s="5"/>
      <c r="U97" s="5"/>
      <c r="V97" s="2"/>
    </row>
    <row r="98" spans="2:22">
      <c r="B98" s="5"/>
      <c r="C98" s="5"/>
      <c r="D98" s="11"/>
      <c r="E98" s="5"/>
      <c r="F98" s="5"/>
      <c r="G98" s="5"/>
      <c r="H98" s="5"/>
      <c r="I98" s="21"/>
      <c r="J98" s="21"/>
      <c r="K98" s="5"/>
      <c r="L98" s="5"/>
      <c r="M98" s="5"/>
      <c r="N98" s="5"/>
      <c r="O98" s="19"/>
      <c r="P98" s="5"/>
      <c r="Q98" s="5"/>
      <c r="R98" s="5"/>
      <c r="S98" s="5"/>
      <c r="T98" s="5"/>
      <c r="U98" s="12"/>
      <c r="V98" s="2"/>
    </row>
    <row r="99" spans="2:22">
      <c r="B99" s="5"/>
      <c r="C99" s="5"/>
      <c r="D99" s="11"/>
      <c r="E99" s="5"/>
      <c r="F99" s="5"/>
      <c r="G99" s="5"/>
      <c r="H99" s="5"/>
      <c r="I99" s="21"/>
      <c r="J99" s="21"/>
      <c r="K99" s="5"/>
      <c r="L99" s="5"/>
      <c r="M99" s="5"/>
      <c r="N99" s="5"/>
      <c r="O99" s="19"/>
      <c r="P99" s="5"/>
      <c r="Q99" s="5"/>
      <c r="R99" s="5"/>
      <c r="S99" s="5"/>
      <c r="T99" s="5"/>
      <c r="U99" s="12"/>
      <c r="V99" s="2"/>
    </row>
    <row r="100" spans="2:22">
      <c r="B100" s="5"/>
      <c r="C100" s="5"/>
      <c r="D100" s="11"/>
      <c r="E100" s="5"/>
      <c r="F100" s="5"/>
      <c r="G100" s="5"/>
      <c r="H100" s="5"/>
      <c r="I100" s="21"/>
      <c r="J100" s="21"/>
      <c r="K100" s="5"/>
      <c r="L100" s="5"/>
      <c r="M100" s="5"/>
      <c r="N100" s="5"/>
      <c r="O100" s="19"/>
      <c r="P100" s="5"/>
      <c r="Q100" s="5"/>
      <c r="R100" s="5"/>
      <c r="S100" s="5"/>
      <c r="T100" s="5"/>
      <c r="U100" s="12"/>
      <c r="V100" s="2"/>
    </row>
    <row r="101" spans="2:22">
      <c r="B101" s="5"/>
      <c r="C101" s="5"/>
      <c r="D101" s="11"/>
      <c r="E101" s="5"/>
      <c r="F101" s="5"/>
      <c r="G101" s="5"/>
      <c r="H101" s="5"/>
      <c r="I101" s="21"/>
      <c r="J101" s="21"/>
      <c r="K101" s="5"/>
      <c r="L101" s="5"/>
      <c r="M101" s="5"/>
      <c r="N101" s="5"/>
      <c r="O101" s="19"/>
      <c r="P101" s="5"/>
      <c r="Q101" s="5"/>
      <c r="R101" s="5"/>
      <c r="S101" s="5"/>
      <c r="T101" s="12"/>
      <c r="U101" s="12"/>
    </row>
    <row r="102" spans="2:22">
      <c r="B102" s="5"/>
      <c r="C102" s="5"/>
      <c r="D102" s="11"/>
      <c r="E102" s="5"/>
      <c r="F102" s="5"/>
      <c r="G102" s="5"/>
      <c r="H102" s="5"/>
      <c r="I102" s="21"/>
      <c r="J102" s="21"/>
      <c r="K102" s="5"/>
      <c r="L102" s="5"/>
      <c r="M102" s="5"/>
      <c r="N102" s="5"/>
      <c r="O102" s="19"/>
      <c r="P102" s="5"/>
      <c r="Q102" s="5"/>
      <c r="R102" s="5"/>
      <c r="S102" s="5"/>
      <c r="T102" s="12"/>
      <c r="U102" s="12"/>
    </row>
    <row r="103" spans="2:22">
      <c r="B103" s="5"/>
      <c r="C103" s="5"/>
      <c r="D103" s="11"/>
      <c r="E103" s="5"/>
      <c r="F103" s="5"/>
      <c r="G103" s="5"/>
      <c r="H103" s="5"/>
      <c r="I103" s="21"/>
      <c r="J103" s="21"/>
      <c r="K103" s="5"/>
      <c r="L103" s="5"/>
      <c r="M103" s="5"/>
      <c r="N103" s="5"/>
      <c r="O103" s="19"/>
      <c r="P103" s="5"/>
      <c r="Q103" s="5"/>
      <c r="R103" s="5"/>
      <c r="S103" s="5"/>
      <c r="T103" s="12"/>
      <c r="U103" s="12"/>
    </row>
    <row r="104" spans="2:22">
      <c r="B104" s="5"/>
      <c r="C104" s="5"/>
      <c r="D104" s="11"/>
      <c r="E104" s="5"/>
      <c r="F104" s="5"/>
      <c r="G104" s="5"/>
      <c r="H104" s="5"/>
      <c r="I104" s="21"/>
      <c r="J104" s="21"/>
      <c r="K104" s="5"/>
      <c r="L104" s="5"/>
      <c r="M104" s="5"/>
      <c r="N104" s="5"/>
      <c r="O104" s="19"/>
      <c r="P104" s="5"/>
      <c r="Q104" s="5"/>
      <c r="R104" s="5"/>
      <c r="S104" s="5"/>
      <c r="T104" s="12"/>
      <c r="U104" s="12"/>
    </row>
    <row r="105" spans="2:22">
      <c r="B105" s="5"/>
      <c r="C105" s="10"/>
      <c r="D105" s="22"/>
      <c r="E105" s="10"/>
      <c r="F105" s="10"/>
      <c r="G105" s="10"/>
      <c r="H105" s="10"/>
      <c r="I105" s="29"/>
    </row>
    <row r="106" spans="2:22">
      <c r="B106" s="5"/>
      <c r="C106" s="10"/>
      <c r="D106" s="24"/>
      <c r="E106" s="10"/>
      <c r="F106" s="10"/>
      <c r="G106" s="10"/>
      <c r="H106" s="10"/>
      <c r="I106" s="29"/>
    </row>
    <row r="107" spans="2:22">
      <c r="B107" s="5"/>
      <c r="C107" s="10"/>
      <c r="D107" s="15"/>
      <c r="E107" s="10"/>
      <c r="F107" s="10"/>
      <c r="G107" s="10"/>
      <c r="H107" s="10"/>
    </row>
    <row r="108" spans="2:22">
      <c r="B108" s="5"/>
      <c r="C108" s="10"/>
      <c r="D108" s="15"/>
      <c r="E108" s="10"/>
      <c r="F108" s="10"/>
      <c r="G108" s="10"/>
      <c r="H108" s="10"/>
    </row>
    <row r="109" spans="2:22">
      <c r="B109" s="5"/>
      <c r="C109" s="10"/>
      <c r="D109" s="15"/>
      <c r="E109" s="10"/>
      <c r="F109" s="10"/>
      <c r="G109" s="10"/>
      <c r="H109" s="10"/>
    </row>
    <row r="110" spans="2:22">
      <c r="B110" s="5"/>
      <c r="C110" s="10"/>
      <c r="D110" s="15"/>
      <c r="E110" s="10"/>
      <c r="F110" s="10"/>
      <c r="G110" s="10"/>
      <c r="H110" s="10"/>
    </row>
    <row r="111" spans="2:22">
      <c r="B111" s="5"/>
      <c r="C111" s="10"/>
      <c r="D111" s="15"/>
      <c r="E111" s="10"/>
      <c r="F111" s="10"/>
      <c r="G111" s="10"/>
      <c r="H111" s="10"/>
    </row>
    <row r="112" spans="2:22">
      <c r="B112" s="5"/>
      <c r="D112" s="22"/>
    </row>
    <row r="113" spans="2:4">
      <c r="B113" s="5"/>
      <c r="D113" s="22"/>
    </row>
    <row r="114" spans="2:4">
      <c r="B114" s="5"/>
      <c r="D114" s="22"/>
    </row>
    <row r="115" spans="2:4">
      <c r="B115" s="5"/>
      <c r="D115" s="22"/>
    </row>
    <row r="116" spans="2:4">
      <c r="B116" s="5"/>
      <c r="D116" s="22"/>
    </row>
    <row r="117" spans="2:4">
      <c r="B117" s="5"/>
      <c r="D117" s="22"/>
    </row>
    <row r="118" spans="2:4">
      <c r="B118" s="5"/>
      <c r="D118" s="22"/>
    </row>
    <row r="119" spans="2:4">
      <c r="B119" s="5"/>
      <c r="D119" s="22"/>
    </row>
    <row r="120" spans="2:4">
      <c r="B120" s="5"/>
      <c r="D120" s="22"/>
    </row>
    <row r="121" spans="2:4">
      <c r="B121" s="5"/>
      <c r="D121" s="22"/>
    </row>
    <row r="122" spans="2:4">
      <c r="B122" s="5"/>
      <c r="D122" s="22"/>
    </row>
    <row r="123" spans="2:4">
      <c r="B123" s="5"/>
      <c r="D123" s="22"/>
    </row>
    <row r="124" spans="2:4">
      <c r="B124" s="5"/>
      <c r="D124" s="22"/>
    </row>
    <row r="125" spans="2:4">
      <c r="B125" s="5"/>
      <c r="D125" s="22"/>
    </row>
    <row r="126" spans="2:4">
      <c r="B126" s="5"/>
      <c r="D126" s="22"/>
    </row>
    <row r="127" spans="2:4">
      <c r="B127" s="5"/>
      <c r="D127" s="22"/>
    </row>
    <row r="128" spans="2:4">
      <c r="B128" s="5"/>
      <c r="D128" s="22"/>
    </row>
    <row r="129" spans="2:4">
      <c r="B129" s="5"/>
      <c r="D129" s="22"/>
    </row>
    <row r="130" spans="2:4">
      <c r="B130" s="5"/>
      <c r="D130" s="22"/>
    </row>
    <row r="131" spans="2:4">
      <c r="B131" s="5"/>
      <c r="D131" s="22"/>
    </row>
    <row r="132" spans="2:4">
      <c r="B132" s="5"/>
      <c r="D132" s="22"/>
    </row>
    <row r="133" spans="2:4">
      <c r="B133" s="5"/>
      <c r="D133" s="22"/>
    </row>
    <row r="134" spans="2:4">
      <c r="B134" s="5"/>
      <c r="D134" s="22"/>
    </row>
    <row r="135" spans="2:4">
      <c r="B135" s="5"/>
      <c r="D135" s="22"/>
    </row>
    <row r="136" spans="2:4">
      <c r="B136" s="5"/>
      <c r="D136" s="22"/>
    </row>
    <row r="137" spans="2:4">
      <c r="B137" s="5"/>
      <c r="D137" s="22"/>
    </row>
    <row r="138" spans="2:4">
      <c r="B138" s="5"/>
      <c r="D138" s="22"/>
    </row>
    <row r="139" spans="2:4">
      <c r="B139" s="5"/>
      <c r="D139" s="22"/>
    </row>
    <row r="140" spans="2:4">
      <c r="B140" s="5"/>
      <c r="D140" s="22"/>
    </row>
    <row r="141" spans="2:4">
      <c r="B141" s="5"/>
      <c r="D141" s="22"/>
    </row>
    <row r="142" spans="2:4">
      <c r="B142" s="5"/>
      <c r="D142" s="22"/>
    </row>
    <row r="143" spans="2:4">
      <c r="B143" s="5"/>
      <c r="D143" s="22"/>
    </row>
    <row r="144" spans="2:4">
      <c r="B144" s="5"/>
      <c r="D144" s="22"/>
    </row>
    <row r="145" spans="2:4">
      <c r="B145" s="5"/>
      <c r="D145" s="22"/>
    </row>
    <row r="146" spans="2:4">
      <c r="B146" s="5"/>
      <c r="D146" s="22"/>
    </row>
    <row r="147" spans="2:4">
      <c r="B147" s="5"/>
      <c r="D147" s="22"/>
    </row>
    <row r="148" spans="2:4">
      <c r="B148" s="5"/>
      <c r="D148" s="22"/>
    </row>
    <row r="149" spans="2:4">
      <c r="B149" s="5"/>
      <c r="D149" s="22"/>
    </row>
    <row r="150" spans="2:4">
      <c r="B150" s="5"/>
      <c r="D150" s="22"/>
    </row>
    <row r="151" spans="2:4">
      <c r="B151" s="5"/>
      <c r="D151" s="22"/>
    </row>
    <row r="152" spans="2:4">
      <c r="B152" s="5"/>
      <c r="D152" s="22"/>
    </row>
    <row r="153" spans="2:4">
      <c r="B153" s="5"/>
      <c r="D153" s="22"/>
    </row>
    <row r="154" spans="2:4">
      <c r="B154" s="5"/>
      <c r="D154" s="22"/>
    </row>
    <row r="155" spans="2:4">
      <c r="B155" s="5"/>
      <c r="D155" s="22"/>
    </row>
    <row r="156" spans="2:4">
      <c r="B156" s="5"/>
      <c r="D156" s="22"/>
    </row>
    <row r="157" spans="2:4">
      <c r="B157" s="5"/>
      <c r="D157" s="22"/>
    </row>
    <row r="158" spans="2:4">
      <c r="B158" s="5"/>
      <c r="D158" s="22"/>
    </row>
  </sheetData>
  <mergeCells count="24">
    <mergeCell ref="C2:J2"/>
    <mergeCell ref="C8:J8"/>
    <mergeCell ref="C9:J9"/>
    <mergeCell ref="C10:J10"/>
    <mergeCell ref="C11:J11"/>
    <mergeCell ref="C12:J12"/>
    <mergeCell ref="C13:J13"/>
    <mergeCell ref="C14:J14"/>
    <mergeCell ref="C15:J15"/>
    <mergeCell ref="C16:J16"/>
    <mergeCell ref="C71:J71"/>
    <mergeCell ref="C17:J17"/>
    <mergeCell ref="M69:O69"/>
    <mergeCell ref="C26:J26"/>
    <mergeCell ref="C24:J24"/>
    <mergeCell ref="C36:J36"/>
    <mergeCell ref="C37:J37"/>
    <mergeCell ref="C41:J41"/>
    <mergeCell ref="C43:J43"/>
    <mergeCell ref="C67:J67"/>
    <mergeCell ref="C72:J72"/>
    <mergeCell ref="C70:J70"/>
    <mergeCell ref="C68:J68"/>
    <mergeCell ref="C69:J69"/>
  </mergeCells>
  <phoneticPr fontId="10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6A3FED-D26C-46D1-8657-2DBEC3AE7BF9}">
  <dimension ref="A1:Q84"/>
  <sheetViews>
    <sheetView workbookViewId="0">
      <selection activeCell="K16" sqref="K16"/>
    </sheetView>
  </sheetViews>
  <sheetFormatPr baseColWidth="10" defaultRowHeight="15"/>
  <cols>
    <col min="1" max="13" width="23.42578125" customWidth="1"/>
  </cols>
  <sheetData>
    <row r="1" spans="1:11" ht="18">
      <c r="A1" s="31" t="s">
        <v>5</v>
      </c>
      <c r="B1" s="32" t="s">
        <v>0</v>
      </c>
      <c r="C1" s="32" t="s">
        <v>2</v>
      </c>
      <c r="D1" s="33" t="s">
        <v>1</v>
      </c>
      <c r="E1" s="32" t="s">
        <v>4</v>
      </c>
      <c r="F1" s="34" t="s">
        <v>7</v>
      </c>
      <c r="G1" s="34" t="s">
        <v>8</v>
      </c>
      <c r="H1" s="34" t="s">
        <v>3</v>
      </c>
      <c r="I1" s="35" t="s">
        <v>6</v>
      </c>
      <c r="J1" s="35" t="s">
        <v>10</v>
      </c>
      <c r="K1" s="6"/>
    </row>
    <row r="2" spans="1:11" ht="15.75">
      <c r="A2" s="30">
        <v>1</v>
      </c>
      <c r="B2" s="30">
        <v>9331</v>
      </c>
      <c r="C2" s="30">
        <v>19</v>
      </c>
      <c r="D2" s="36">
        <v>280000</v>
      </c>
      <c r="E2" s="7">
        <v>1</v>
      </c>
      <c r="F2" s="7">
        <v>2</v>
      </c>
      <c r="G2" s="7">
        <v>1</v>
      </c>
      <c r="H2" s="7">
        <f>G2+F2</f>
        <v>3</v>
      </c>
      <c r="I2" s="30" t="s">
        <v>13</v>
      </c>
      <c r="J2" s="30" t="s">
        <v>12</v>
      </c>
      <c r="K2" s="6"/>
    </row>
    <row r="3" spans="1:11" ht="15.75">
      <c r="A3" s="30">
        <v>2</v>
      </c>
      <c r="B3" s="30">
        <v>9332</v>
      </c>
      <c r="C3" s="30">
        <v>107</v>
      </c>
      <c r="D3" s="36" t="s">
        <v>14</v>
      </c>
      <c r="E3" s="7">
        <v>3</v>
      </c>
      <c r="F3" s="7">
        <v>2</v>
      </c>
      <c r="G3" s="7">
        <v>2</v>
      </c>
      <c r="H3" s="7">
        <f t="shared" ref="H3:H61" si="0">G3+F3</f>
        <v>4</v>
      </c>
      <c r="I3" s="30" t="s">
        <v>13</v>
      </c>
      <c r="J3" s="30" t="s">
        <v>12</v>
      </c>
      <c r="K3" s="6"/>
    </row>
    <row r="4" spans="1:11" ht="15.75">
      <c r="A4" s="30">
        <v>3</v>
      </c>
      <c r="B4" s="30">
        <v>9333</v>
      </c>
      <c r="C4" s="30">
        <v>106</v>
      </c>
      <c r="D4" s="36">
        <v>180000</v>
      </c>
      <c r="E4" s="7">
        <v>1</v>
      </c>
      <c r="F4" s="7">
        <v>2</v>
      </c>
      <c r="G4" s="7">
        <v>0</v>
      </c>
      <c r="H4" s="7">
        <f t="shared" si="0"/>
        <v>2</v>
      </c>
      <c r="I4" s="30" t="s">
        <v>13</v>
      </c>
      <c r="J4" s="30" t="s">
        <v>12</v>
      </c>
      <c r="K4" s="6"/>
    </row>
    <row r="5" spans="1:11" ht="15.75">
      <c r="A5" s="30">
        <v>4</v>
      </c>
      <c r="B5" s="30">
        <v>9334</v>
      </c>
      <c r="C5" s="30">
        <v>202</v>
      </c>
      <c r="D5" s="36">
        <v>180000</v>
      </c>
      <c r="E5" s="7">
        <v>1</v>
      </c>
      <c r="F5" s="7">
        <v>2</v>
      </c>
      <c r="G5" s="7">
        <v>0</v>
      </c>
      <c r="H5" s="7">
        <f t="shared" si="0"/>
        <v>2</v>
      </c>
      <c r="I5" s="30" t="s">
        <v>13</v>
      </c>
      <c r="J5" s="30" t="s">
        <v>12</v>
      </c>
      <c r="K5" s="6"/>
    </row>
    <row r="6" spans="1:11" ht="15.75">
      <c r="A6" s="30">
        <v>5</v>
      </c>
      <c r="B6" s="30">
        <v>9335</v>
      </c>
      <c r="C6" s="30">
        <v>108</v>
      </c>
      <c r="D6" s="36">
        <v>180000</v>
      </c>
      <c r="E6" s="7">
        <v>1</v>
      </c>
      <c r="F6" s="7">
        <v>2</v>
      </c>
      <c r="G6" s="7">
        <v>0</v>
      </c>
      <c r="H6" s="7">
        <f t="shared" si="0"/>
        <v>2</v>
      </c>
      <c r="I6" s="30" t="s">
        <v>13</v>
      </c>
      <c r="J6" s="30" t="s">
        <v>12</v>
      </c>
      <c r="K6" s="6"/>
    </row>
    <row r="7" spans="1:11" ht="15.75">
      <c r="A7" s="30">
        <v>6</v>
      </c>
      <c r="B7" s="30">
        <v>9336</v>
      </c>
      <c r="C7" s="61" t="s">
        <v>11</v>
      </c>
      <c r="D7" s="62"/>
      <c r="E7" s="62"/>
      <c r="F7" s="62"/>
      <c r="G7" s="62"/>
      <c r="H7" s="62"/>
      <c r="I7" s="62"/>
      <c r="J7" s="63"/>
      <c r="K7" s="6"/>
    </row>
    <row r="8" spans="1:11" ht="15.75">
      <c r="A8" s="30">
        <v>7</v>
      </c>
      <c r="B8" s="30">
        <v>9337</v>
      </c>
      <c r="C8" s="30">
        <v>14</v>
      </c>
      <c r="D8" s="36">
        <v>180000</v>
      </c>
      <c r="E8" s="7">
        <v>1</v>
      </c>
      <c r="F8" s="7">
        <v>2</v>
      </c>
      <c r="G8" s="7">
        <v>0</v>
      </c>
      <c r="H8" s="7">
        <f t="shared" si="0"/>
        <v>2</v>
      </c>
      <c r="I8" s="30" t="s">
        <v>13</v>
      </c>
      <c r="J8" s="30" t="s">
        <v>12</v>
      </c>
      <c r="K8" s="6"/>
    </row>
    <row r="9" spans="1:11" ht="15.75">
      <c r="A9" s="30">
        <v>8</v>
      </c>
      <c r="B9" s="30">
        <v>9338</v>
      </c>
      <c r="C9" s="30">
        <v>109</v>
      </c>
      <c r="D9" s="36">
        <v>180000</v>
      </c>
      <c r="E9" s="7">
        <v>1</v>
      </c>
      <c r="F9" s="7">
        <v>2</v>
      </c>
      <c r="G9" s="7">
        <v>0</v>
      </c>
      <c r="H9" s="7">
        <f t="shared" si="0"/>
        <v>2</v>
      </c>
      <c r="I9" s="30" t="s">
        <v>13</v>
      </c>
      <c r="J9" s="30" t="s">
        <v>12</v>
      </c>
      <c r="K9" s="6"/>
    </row>
    <row r="10" spans="1:11" ht="15.75">
      <c r="A10" s="30">
        <v>9</v>
      </c>
      <c r="B10" s="30">
        <v>9339</v>
      </c>
      <c r="C10" s="30">
        <v>103</v>
      </c>
      <c r="D10" s="36">
        <v>180000</v>
      </c>
      <c r="E10" s="7">
        <v>1</v>
      </c>
      <c r="F10" s="7">
        <v>2</v>
      </c>
      <c r="G10" s="7">
        <v>0</v>
      </c>
      <c r="H10" s="7">
        <f t="shared" si="0"/>
        <v>2</v>
      </c>
      <c r="I10" s="30" t="s">
        <v>13</v>
      </c>
      <c r="J10" s="30" t="s">
        <v>9</v>
      </c>
      <c r="K10" s="6"/>
    </row>
    <row r="11" spans="1:11" ht="15.75">
      <c r="A11" s="30">
        <v>10</v>
      </c>
      <c r="B11" s="30">
        <v>9340</v>
      </c>
      <c r="C11" s="30">
        <v>17</v>
      </c>
      <c r="D11" s="36">
        <v>400000</v>
      </c>
      <c r="E11" s="7">
        <v>1</v>
      </c>
      <c r="F11" s="7">
        <v>2</v>
      </c>
      <c r="G11" s="7">
        <v>2</v>
      </c>
      <c r="H11" s="7">
        <f t="shared" si="0"/>
        <v>4</v>
      </c>
      <c r="I11" s="30" t="s">
        <v>13</v>
      </c>
      <c r="J11" s="30" t="s">
        <v>12</v>
      </c>
      <c r="K11" s="6"/>
    </row>
    <row r="12" spans="1:11" ht="15.75">
      <c r="A12" s="30">
        <v>11</v>
      </c>
      <c r="B12" s="30">
        <v>9341</v>
      </c>
      <c r="C12" s="30">
        <v>202</v>
      </c>
      <c r="D12" s="36">
        <v>180000</v>
      </c>
      <c r="E12" s="7">
        <v>1</v>
      </c>
      <c r="F12" s="7">
        <v>2</v>
      </c>
      <c r="G12" s="7">
        <v>0</v>
      </c>
      <c r="H12" s="7">
        <f t="shared" si="0"/>
        <v>2</v>
      </c>
      <c r="I12" s="30" t="s">
        <v>13</v>
      </c>
      <c r="J12" s="30" t="s">
        <v>9</v>
      </c>
      <c r="K12" s="6"/>
    </row>
    <row r="13" spans="1:11" ht="15.75">
      <c r="A13" s="30">
        <v>12</v>
      </c>
      <c r="B13" s="30">
        <v>9342</v>
      </c>
      <c r="C13" s="30">
        <v>201</v>
      </c>
      <c r="D13" s="36">
        <v>180000</v>
      </c>
      <c r="E13" s="7">
        <v>1</v>
      </c>
      <c r="F13" s="7">
        <v>2</v>
      </c>
      <c r="G13" s="7">
        <v>0</v>
      </c>
      <c r="H13" s="7">
        <f t="shared" si="0"/>
        <v>2</v>
      </c>
      <c r="I13" s="30" t="s">
        <v>13</v>
      </c>
      <c r="J13" s="30" t="s">
        <v>9</v>
      </c>
      <c r="K13" s="6"/>
    </row>
    <row r="14" spans="1:11" ht="15.75">
      <c r="A14" s="30">
        <v>13</v>
      </c>
      <c r="B14" s="30">
        <v>9343</v>
      </c>
      <c r="C14" s="30">
        <v>105</v>
      </c>
      <c r="D14" s="36">
        <v>180000</v>
      </c>
      <c r="E14" s="7">
        <v>1</v>
      </c>
      <c r="F14" s="7">
        <v>2</v>
      </c>
      <c r="G14" s="7">
        <v>0</v>
      </c>
      <c r="H14" s="7">
        <f t="shared" si="0"/>
        <v>2</v>
      </c>
      <c r="I14" s="30" t="s">
        <v>13</v>
      </c>
      <c r="J14" s="30" t="s">
        <v>12</v>
      </c>
      <c r="K14" s="6"/>
    </row>
    <row r="15" spans="1:11" ht="15.75">
      <c r="A15" s="30">
        <v>14</v>
      </c>
      <c r="B15" s="30">
        <v>9344</v>
      </c>
      <c r="C15" s="30">
        <v>104</v>
      </c>
      <c r="D15" s="36">
        <v>140000</v>
      </c>
      <c r="E15" s="7">
        <v>1</v>
      </c>
      <c r="F15" s="7">
        <v>1</v>
      </c>
      <c r="G15" s="7">
        <v>0</v>
      </c>
      <c r="H15" s="7">
        <f t="shared" si="0"/>
        <v>1</v>
      </c>
      <c r="I15" s="30" t="s">
        <v>13</v>
      </c>
      <c r="J15" s="30" t="s">
        <v>9</v>
      </c>
      <c r="K15" s="6"/>
    </row>
    <row r="16" spans="1:11" ht="15.75">
      <c r="A16" s="30">
        <v>15</v>
      </c>
      <c r="B16" s="30">
        <v>9345</v>
      </c>
      <c r="C16" s="30">
        <v>104</v>
      </c>
      <c r="D16" s="36">
        <v>140000</v>
      </c>
      <c r="E16" s="7">
        <v>1</v>
      </c>
      <c r="F16" s="7">
        <v>1</v>
      </c>
      <c r="G16" s="7">
        <v>0</v>
      </c>
      <c r="H16" s="7">
        <f t="shared" si="0"/>
        <v>1</v>
      </c>
      <c r="I16" s="30" t="s">
        <v>13</v>
      </c>
      <c r="J16" s="30" t="s">
        <v>9</v>
      </c>
      <c r="K16" s="6"/>
    </row>
    <row r="17" spans="1:17" ht="15.75">
      <c r="A17" s="30">
        <v>16</v>
      </c>
      <c r="B17" s="30">
        <v>9346</v>
      </c>
      <c r="C17" s="30">
        <v>105</v>
      </c>
      <c r="D17" s="36">
        <v>420000</v>
      </c>
      <c r="E17" s="7">
        <v>3</v>
      </c>
      <c r="F17" s="7">
        <v>1</v>
      </c>
      <c r="G17" s="7">
        <v>0</v>
      </c>
      <c r="H17" s="7">
        <f t="shared" si="0"/>
        <v>1</v>
      </c>
      <c r="I17" s="30" t="s">
        <v>13</v>
      </c>
      <c r="J17" s="30" t="s">
        <v>9</v>
      </c>
      <c r="K17" s="6"/>
    </row>
    <row r="18" spans="1:17" ht="15.75">
      <c r="A18" s="30">
        <v>17</v>
      </c>
      <c r="B18" s="30">
        <v>9347</v>
      </c>
      <c r="C18" s="30">
        <v>106</v>
      </c>
      <c r="D18" s="36">
        <v>420000</v>
      </c>
      <c r="E18" s="7">
        <v>3</v>
      </c>
      <c r="F18" s="7">
        <v>1</v>
      </c>
      <c r="G18" s="7">
        <v>0</v>
      </c>
      <c r="H18" s="7">
        <f t="shared" si="0"/>
        <v>1</v>
      </c>
      <c r="I18" s="30" t="s">
        <v>13</v>
      </c>
      <c r="J18" s="30" t="s">
        <v>9</v>
      </c>
      <c r="K18" s="6"/>
    </row>
    <row r="19" spans="1:17" ht="15.75">
      <c r="A19" s="30">
        <v>18</v>
      </c>
      <c r="B19" s="30">
        <v>9348</v>
      </c>
      <c r="C19" s="30">
        <v>201</v>
      </c>
      <c r="D19" s="36">
        <v>140000</v>
      </c>
      <c r="E19" s="7">
        <v>1</v>
      </c>
      <c r="F19" s="7">
        <v>1</v>
      </c>
      <c r="G19" s="7">
        <v>0</v>
      </c>
      <c r="H19" s="7">
        <f t="shared" si="0"/>
        <v>1</v>
      </c>
      <c r="I19" s="30" t="s">
        <v>13</v>
      </c>
      <c r="J19" s="30" t="s">
        <v>9</v>
      </c>
      <c r="K19" s="6"/>
    </row>
    <row r="20" spans="1:17" ht="15.75">
      <c r="A20" s="30">
        <v>19</v>
      </c>
      <c r="B20" s="30">
        <v>9349</v>
      </c>
      <c r="C20" s="30">
        <v>101</v>
      </c>
      <c r="D20" s="36">
        <v>180000</v>
      </c>
      <c r="E20" s="7">
        <v>1</v>
      </c>
      <c r="F20" s="7">
        <v>1</v>
      </c>
      <c r="G20" s="7">
        <v>0</v>
      </c>
      <c r="H20" s="7">
        <f t="shared" si="0"/>
        <v>1</v>
      </c>
      <c r="I20" s="30" t="s">
        <v>13</v>
      </c>
      <c r="J20" s="30" t="s">
        <v>12</v>
      </c>
      <c r="K20" s="6"/>
    </row>
    <row r="21" spans="1:17" ht="15.75">
      <c r="A21" s="30">
        <v>20</v>
      </c>
      <c r="B21" s="30">
        <v>9350</v>
      </c>
      <c r="C21" s="30">
        <v>204</v>
      </c>
      <c r="D21" s="36">
        <v>180000</v>
      </c>
      <c r="E21" s="7">
        <v>1</v>
      </c>
      <c r="F21" s="7">
        <v>1</v>
      </c>
      <c r="G21" s="7">
        <v>0</v>
      </c>
      <c r="H21" s="7">
        <f t="shared" si="0"/>
        <v>1</v>
      </c>
      <c r="I21" s="30" t="s">
        <v>13</v>
      </c>
      <c r="J21" s="30" t="s">
        <v>12</v>
      </c>
      <c r="K21" s="6"/>
    </row>
    <row r="22" spans="1:17" ht="15.75">
      <c r="A22" s="30">
        <v>21</v>
      </c>
      <c r="B22" s="30">
        <v>9351</v>
      </c>
      <c r="C22" s="30">
        <v>202</v>
      </c>
      <c r="D22" s="36">
        <v>140000</v>
      </c>
      <c r="E22" s="7">
        <v>1</v>
      </c>
      <c r="F22" s="7">
        <v>1</v>
      </c>
      <c r="G22" s="7">
        <v>0</v>
      </c>
      <c r="H22" s="7">
        <f t="shared" si="0"/>
        <v>1</v>
      </c>
      <c r="I22" s="30" t="s">
        <v>13</v>
      </c>
      <c r="J22" s="30" t="s">
        <v>9</v>
      </c>
      <c r="K22" s="6"/>
    </row>
    <row r="23" spans="1:17" ht="15.75">
      <c r="A23" s="30">
        <v>22</v>
      </c>
      <c r="B23" s="30">
        <v>9352</v>
      </c>
      <c r="C23" s="30">
        <v>108</v>
      </c>
      <c r="D23" s="36">
        <v>140000</v>
      </c>
      <c r="E23" s="7">
        <v>1</v>
      </c>
      <c r="F23" s="7">
        <v>1</v>
      </c>
      <c r="G23" s="7">
        <v>0</v>
      </c>
      <c r="H23" s="7">
        <f t="shared" si="0"/>
        <v>1</v>
      </c>
      <c r="I23" s="30" t="s">
        <v>13</v>
      </c>
      <c r="J23" s="30" t="s">
        <v>9</v>
      </c>
      <c r="K23" s="6"/>
    </row>
    <row r="24" spans="1:17" ht="15.75">
      <c r="A24" s="30">
        <v>23</v>
      </c>
      <c r="B24" s="30">
        <v>9353</v>
      </c>
      <c r="C24" s="30">
        <v>201</v>
      </c>
      <c r="D24" s="36">
        <v>180000</v>
      </c>
      <c r="E24" s="7">
        <v>1</v>
      </c>
      <c r="F24" s="7">
        <v>2</v>
      </c>
      <c r="G24" s="7">
        <v>0</v>
      </c>
      <c r="H24" s="7">
        <f t="shared" si="0"/>
        <v>2</v>
      </c>
      <c r="I24" s="30" t="s">
        <v>13</v>
      </c>
      <c r="J24" s="30" t="s">
        <v>12</v>
      </c>
      <c r="K24" s="6"/>
    </row>
    <row r="25" spans="1:17" ht="15.75">
      <c r="A25" s="30">
        <v>24</v>
      </c>
      <c r="B25" s="30">
        <v>9354</v>
      </c>
      <c r="C25" s="30">
        <v>102</v>
      </c>
      <c r="D25" s="36">
        <v>280000</v>
      </c>
      <c r="E25" s="7">
        <v>1</v>
      </c>
      <c r="F25" s="7">
        <v>2</v>
      </c>
      <c r="G25" s="7">
        <v>1</v>
      </c>
      <c r="H25" s="7">
        <f t="shared" si="0"/>
        <v>3</v>
      </c>
      <c r="I25" s="30" t="s">
        <v>13</v>
      </c>
      <c r="J25" s="30" t="s">
        <v>12</v>
      </c>
      <c r="K25" s="6"/>
    </row>
    <row r="26" spans="1:17" ht="15.75">
      <c r="A26" s="30">
        <v>25</v>
      </c>
      <c r="B26" s="30">
        <v>9355</v>
      </c>
      <c r="C26" s="58" t="s">
        <v>15</v>
      </c>
      <c r="D26" s="59"/>
      <c r="E26" s="59"/>
      <c r="F26" s="59"/>
      <c r="G26" s="59"/>
      <c r="H26" s="59"/>
      <c r="I26" s="59"/>
      <c r="J26" s="60"/>
      <c r="K26" s="6"/>
    </row>
    <row r="27" spans="1:17" ht="15.75">
      <c r="A27" s="30">
        <v>26</v>
      </c>
      <c r="B27" s="30">
        <v>9356</v>
      </c>
      <c r="C27" s="58" t="s">
        <v>15</v>
      </c>
      <c r="D27" s="59"/>
      <c r="E27" s="59"/>
      <c r="F27" s="59"/>
      <c r="G27" s="59"/>
      <c r="H27" s="59"/>
      <c r="I27" s="59"/>
      <c r="J27" s="60"/>
      <c r="K27" s="6"/>
    </row>
    <row r="28" spans="1:17" ht="15.75">
      <c r="A28" s="30">
        <v>27</v>
      </c>
      <c r="B28" s="30">
        <v>9357</v>
      </c>
      <c r="C28" s="58" t="s">
        <v>15</v>
      </c>
      <c r="D28" s="59"/>
      <c r="E28" s="59"/>
      <c r="F28" s="59"/>
      <c r="G28" s="59"/>
      <c r="H28" s="59"/>
      <c r="I28" s="59"/>
      <c r="J28" s="60"/>
      <c r="K28" s="6"/>
    </row>
    <row r="29" spans="1:17" ht="15.75">
      <c r="A29" s="30">
        <v>28</v>
      </c>
      <c r="B29" s="30">
        <v>9358</v>
      </c>
      <c r="C29" s="58" t="s">
        <v>15</v>
      </c>
      <c r="D29" s="59"/>
      <c r="E29" s="59"/>
      <c r="F29" s="59"/>
      <c r="G29" s="59"/>
      <c r="H29" s="59"/>
      <c r="I29" s="59"/>
      <c r="J29" s="60"/>
      <c r="K29" s="6"/>
    </row>
    <row r="30" spans="1:17" ht="15.75">
      <c r="A30" s="30">
        <v>29</v>
      </c>
      <c r="B30" s="30">
        <v>9359</v>
      </c>
      <c r="C30" s="58" t="s">
        <v>15</v>
      </c>
      <c r="D30" s="59"/>
      <c r="E30" s="59"/>
      <c r="F30" s="59"/>
      <c r="G30" s="59"/>
      <c r="H30" s="59"/>
      <c r="I30" s="59"/>
      <c r="J30" s="60"/>
      <c r="K30" s="6"/>
    </row>
    <row r="31" spans="1:17" ht="15.75">
      <c r="A31" s="30">
        <v>30</v>
      </c>
      <c r="B31" s="30">
        <v>9360</v>
      </c>
      <c r="C31" s="58" t="s">
        <v>15</v>
      </c>
      <c r="D31" s="59"/>
      <c r="E31" s="59"/>
      <c r="F31" s="59"/>
      <c r="G31" s="59"/>
      <c r="H31" s="59"/>
      <c r="I31" s="59"/>
      <c r="J31" s="60"/>
      <c r="K31" s="6"/>
    </row>
    <row r="32" spans="1:17" ht="15.75">
      <c r="A32" s="30">
        <v>31</v>
      </c>
      <c r="B32" s="30">
        <v>9361</v>
      </c>
      <c r="C32" s="30">
        <v>104</v>
      </c>
      <c r="D32" s="36">
        <v>140000</v>
      </c>
      <c r="E32" s="7">
        <v>1</v>
      </c>
      <c r="F32" s="7">
        <v>1</v>
      </c>
      <c r="G32" s="7">
        <v>0</v>
      </c>
      <c r="H32" s="7">
        <f t="shared" si="0"/>
        <v>1</v>
      </c>
      <c r="I32" s="30" t="s">
        <v>13</v>
      </c>
      <c r="J32" s="30" t="s">
        <v>9</v>
      </c>
      <c r="K32" s="6"/>
      <c r="L32" s="10"/>
      <c r="M32" s="10"/>
      <c r="N32" s="10"/>
      <c r="O32" s="15"/>
      <c r="P32" s="10"/>
      <c r="Q32" s="10"/>
    </row>
    <row r="33" spans="1:17" ht="15.75">
      <c r="A33" s="30">
        <v>32</v>
      </c>
      <c r="B33" s="30">
        <v>9362</v>
      </c>
      <c r="C33" s="30">
        <v>104</v>
      </c>
      <c r="D33" s="36">
        <v>180000</v>
      </c>
      <c r="E33" s="7">
        <v>1</v>
      </c>
      <c r="F33" s="7">
        <v>2</v>
      </c>
      <c r="G33" s="7">
        <v>0</v>
      </c>
      <c r="H33" s="7">
        <f t="shared" si="0"/>
        <v>2</v>
      </c>
      <c r="I33" s="30" t="s">
        <v>13</v>
      </c>
      <c r="J33" s="30" t="s">
        <v>9</v>
      </c>
      <c r="K33" s="6"/>
      <c r="L33" s="10"/>
      <c r="M33" s="10"/>
      <c r="N33" s="10"/>
      <c r="O33" s="24"/>
      <c r="P33" s="10"/>
      <c r="Q33" s="10"/>
    </row>
    <row r="34" spans="1:17" ht="15.75">
      <c r="A34" s="30">
        <v>33</v>
      </c>
      <c r="B34" s="30">
        <v>9363</v>
      </c>
      <c r="C34" s="64" t="s">
        <v>16</v>
      </c>
      <c r="D34" s="65"/>
      <c r="E34" s="65"/>
      <c r="F34" s="65"/>
      <c r="G34" s="65"/>
      <c r="H34" s="65"/>
      <c r="I34" s="65"/>
      <c r="J34" s="66"/>
      <c r="K34" s="5"/>
      <c r="Q34" s="18"/>
    </row>
    <row r="35" spans="1:17" ht="15.75">
      <c r="A35" s="30">
        <v>34</v>
      </c>
      <c r="B35" s="30">
        <v>9364</v>
      </c>
      <c r="C35" s="64" t="s">
        <v>16</v>
      </c>
      <c r="D35" s="65"/>
      <c r="E35" s="65"/>
      <c r="F35" s="65"/>
      <c r="G35" s="65"/>
      <c r="H35" s="65"/>
      <c r="I35" s="65"/>
      <c r="J35" s="66"/>
      <c r="K35" s="5"/>
      <c r="Q35" s="12"/>
    </row>
    <row r="36" spans="1:17" ht="15.75">
      <c r="A36" s="30">
        <v>35</v>
      </c>
      <c r="B36" s="30">
        <v>9365</v>
      </c>
      <c r="C36" s="64" t="s">
        <v>16</v>
      </c>
      <c r="D36" s="65"/>
      <c r="E36" s="65"/>
      <c r="F36" s="65"/>
      <c r="G36" s="65"/>
      <c r="H36" s="65"/>
      <c r="I36" s="65"/>
      <c r="J36" s="66"/>
      <c r="K36" s="5"/>
      <c r="Q36" s="18"/>
    </row>
    <row r="37" spans="1:17" ht="15.75">
      <c r="A37" s="30">
        <v>36</v>
      </c>
      <c r="B37" s="30">
        <v>9366</v>
      </c>
      <c r="C37" s="64" t="s">
        <v>16</v>
      </c>
      <c r="D37" s="65"/>
      <c r="E37" s="65"/>
      <c r="F37" s="65"/>
      <c r="G37" s="65"/>
      <c r="H37" s="65"/>
      <c r="I37" s="65"/>
      <c r="J37" s="66"/>
      <c r="K37" s="5"/>
      <c r="Q37" s="12"/>
    </row>
    <row r="38" spans="1:17" ht="15.75">
      <c r="A38" s="30">
        <v>37</v>
      </c>
      <c r="B38" s="30">
        <v>9367</v>
      </c>
      <c r="C38" s="64" t="s">
        <v>16</v>
      </c>
      <c r="D38" s="65"/>
      <c r="E38" s="65"/>
      <c r="F38" s="65"/>
      <c r="G38" s="65"/>
      <c r="H38" s="65"/>
      <c r="I38" s="65"/>
      <c r="J38" s="66"/>
      <c r="K38" s="5"/>
      <c r="Q38" s="12"/>
    </row>
    <row r="39" spans="1:17" ht="15.75">
      <c r="A39" s="30">
        <v>38</v>
      </c>
      <c r="B39" s="30">
        <v>9368</v>
      </c>
      <c r="C39" s="64" t="s">
        <v>16</v>
      </c>
      <c r="D39" s="65"/>
      <c r="E39" s="65"/>
      <c r="F39" s="65"/>
      <c r="G39" s="65"/>
      <c r="H39" s="65"/>
      <c r="I39" s="65"/>
      <c r="J39" s="66"/>
      <c r="K39" s="5"/>
      <c r="Q39" s="12"/>
    </row>
    <row r="40" spans="1:17" ht="15.75">
      <c r="A40" s="30">
        <v>39</v>
      </c>
      <c r="B40" s="30">
        <v>9369</v>
      </c>
      <c r="C40" s="64" t="s">
        <v>16</v>
      </c>
      <c r="D40" s="65"/>
      <c r="E40" s="65"/>
      <c r="F40" s="65"/>
      <c r="G40" s="65"/>
      <c r="H40" s="65"/>
      <c r="I40" s="65"/>
      <c r="J40" s="66"/>
      <c r="K40" s="5"/>
      <c r="Q40" s="12"/>
    </row>
    <row r="41" spans="1:17" ht="15.75">
      <c r="A41" s="30">
        <v>40</v>
      </c>
      <c r="B41" s="30">
        <v>9370</v>
      </c>
      <c r="C41" s="64" t="s">
        <v>16</v>
      </c>
      <c r="D41" s="65"/>
      <c r="E41" s="65"/>
      <c r="F41" s="65"/>
      <c r="G41" s="65"/>
      <c r="H41" s="65"/>
      <c r="I41" s="65"/>
      <c r="J41" s="66"/>
      <c r="K41" s="5"/>
      <c r="Q41" s="12"/>
    </row>
    <row r="42" spans="1:17" ht="15.75">
      <c r="A42" s="30">
        <v>41</v>
      </c>
      <c r="B42" s="30">
        <v>9371</v>
      </c>
      <c r="C42" s="64" t="s">
        <v>16</v>
      </c>
      <c r="D42" s="65"/>
      <c r="E42" s="65"/>
      <c r="F42" s="65"/>
      <c r="G42" s="65"/>
      <c r="H42" s="65"/>
      <c r="I42" s="65"/>
      <c r="J42" s="66"/>
      <c r="K42" s="5"/>
      <c r="Q42" s="12"/>
    </row>
    <row r="43" spans="1:17" ht="15.75">
      <c r="A43" s="30">
        <v>42</v>
      </c>
      <c r="B43" s="30">
        <v>9372</v>
      </c>
      <c r="C43" s="64" t="s">
        <v>16</v>
      </c>
      <c r="D43" s="65"/>
      <c r="E43" s="65"/>
      <c r="F43" s="65"/>
      <c r="G43" s="65"/>
      <c r="H43" s="65"/>
      <c r="I43" s="65"/>
      <c r="J43" s="66"/>
      <c r="K43" s="5"/>
      <c r="Q43" s="12"/>
    </row>
    <row r="44" spans="1:17" ht="15.75">
      <c r="A44" s="30">
        <v>43</v>
      </c>
      <c r="B44" s="30">
        <v>9373</v>
      </c>
      <c r="C44" s="64" t="s">
        <v>16</v>
      </c>
      <c r="D44" s="65"/>
      <c r="E44" s="65"/>
      <c r="F44" s="65"/>
      <c r="G44" s="65"/>
      <c r="H44" s="65"/>
      <c r="I44" s="65"/>
      <c r="J44" s="66"/>
      <c r="K44" s="5"/>
      <c r="Q44" s="12"/>
    </row>
    <row r="45" spans="1:17" ht="15.75">
      <c r="A45" s="30">
        <v>44</v>
      </c>
      <c r="B45" s="30">
        <v>9374</v>
      </c>
      <c r="C45" s="30">
        <v>204</v>
      </c>
      <c r="D45" s="36">
        <v>140000</v>
      </c>
      <c r="E45" s="7">
        <v>1</v>
      </c>
      <c r="F45" s="7">
        <v>1</v>
      </c>
      <c r="G45" s="7">
        <v>0</v>
      </c>
      <c r="H45" s="7">
        <f t="shared" si="0"/>
        <v>1</v>
      </c>
      <c r="I45" s="30" t="s">
        <v>13</v>
      </c>
      <c r="J45" s="30" t="s">
        <v>9</v>
      </c>
      <c r="K45" s="5"/>
      <c r="Q45" s="12"/>
    </row>
    <row r="46" spans="1:17" ht="15.75">
      <c r="A46" s="30">
        <v>45</v>
      </c>
      <c r="B46" s="30">
        <v>9375</v>
      </c>
      <c r="C46" s="30">
        <v>104</v>
      </c>
      <c r="D46" s="36">
        <v>180000</v>
      </c>
      <c r="E46" s="7">
        <v>1</v>
      </c>
      <c r="F46" s="7">
        <v>2</v>
      </c>
      <c r="G46" s="7">
        <v>0</v>
      </c>
      <c r="H46" s="7">
        <f t="shared" si="0"/>
        <v>2</v>
      </c>
      <c r="I46" s="30" t="s">
        <v>13</v>
      </c>
      <c r="J46" s="30" t="s">
        <v>9</v>
      </c>
      <c r="K46" s="5"/>
      <c r="Q46" s="12"/>
    </row>
    <row r="47" spans="1:17" ht="15.75">
      <c r="A47" s="30">
        <v>46</v>
      </c>
      <c r="B47" s="30">
        <v>9376</v>
      </c>
      <c r="C47" s="30">
        <v>109</v>
      </c>
      <c r="D47" s="36">
        <v>180000</v>
      </c>
      <c r="E47" s="7">
        <v>1</v>
      </c>
      <c r="F47" s="7">
        <v>1</v>
      </c>
      <c r="G47" s="7">
        <v>0</v>
      </c>
      <c r="H47" s="7">
        <f t="shared" si="0"/>
        <v>1</v>
      </c>
      <c r="I47" s="30" t="s">
        <v>17</v>
      </c>
      <c r="J47" s="30" t="s">
        <v>12</v>
      </c>
      <c r="K47" s="5"/>
      <c r="Q47" s="12"/>
    </row>
    <row r="48" spans="1:17" ht="15.75">
      <c r="A48" s="30">
        <v>47</v>
      </c>
      <c r="B48" s="30">
        <v>9377</v>
      </c>
      <c r="C48" s="70" t="s">
        <v>18</v>
      </c>
      <c r="D48" s="71"/>
      <c r="E48" s="71"/>
      <c r="F48" s="71"/>
      <c r="G48" s="71"/>
      <c r="H48" s="71"/>
      <c r="I48" s="71"/>
      <c r="J48" s="72"/>
      <c r="K48" s="5"/>
      <c r="Q48" s="12"/>
    </row>
    <row r="49" spans="1:17" ht="15.75">
      <c r="A49" s="30">
        <v>48</v>
      </c>
      <c r="B49" s="30">
        <v>9378</v>
      </c>
      <c r="C49" s="70" t="s">
        <v>19</v>
      </c>
      <c r="D49" s="71"/>
      <c r="E49" s="71"/>
      <c r="F49" s="71"/>
      <c r="G49" s="71"/>
      <c r="H49" s="71"/>
      <c r="I49" s="71"/>
      <c r="J49" s="72"/>
      <c r="K49" s="5"/>
      <c r="Q49" s="12"/>
    </row>
    <row r="50" spans="1:17" ht="15.75">
      <c r="A50" s="30">
        <v>49</v>
      </c>
      <c r="B50" s="30">
        <v>9379</v>
      </c>
      <c r="C50" s="30">
        <v>201</v>
      </c>
      <c r="D50" s="36">
        <v>120000</v>
      </c>
      <c r="E50" s="7">
        <v>1</v>
      </c>
      <c r="F50" s="7">
        <v>1</v>
      </c>
      <c r="G50" s="7">
        <v>0</v>
      </c>
      <c r="H50" s="7">
        <f t="shared" si="0"/>
        <v>1</v>
      </c>
      <c r="I50" s="30" t="s">
        <v>13</v>
      </c>
      <c r="J50" s="30" t="s">
        <v>9</v>
      </c>
      <c r="K50" s="5"/>
      <c r="Q50" s="12"/>
    </row>
    <row r="51" spans="1:17" ht="15.75">
      <c r="A51" s="30">
        <v>50</v>
      </c>
      <c r="B51" s="30">
        <v>9380</v>
      </c>
      <c r="C51" s="30">
        <v>204</v>
      </c>
      <c r="D51" s="36">
        <v>120000</v>
      </c>
      <c r="E51" s="7">
        <v>1</v>
      </c>
      <c r="F51" s="7">
        <v>1</v>
      </c>
      <c r="G51" s="7">
        <v>0</v>
      </c>
      <c r="H51" s="7">
        <f t="shared" si="0"/>
        <v>1</v>
      </c>
      <c r="I51" s="30" t="s">
        <v>13</v>
      </c>
      <c r="J51" s="30" t="s">
        <v>9</v>
      </c>
      <c r="K51" s="5"/>
      <c r="L51" s="5"/>
      <c r="M51" s="5"/>
      <c r="N51" s="5"/>
      <c r="O51" s="26"/>
      <c r="P51" s="5"/>
      <c r="Q51" s="12"/>
    </row>
    <row r="52" spans="1:17" ht="15.75">
      <c r="A52" s="30">
        <v>51</v>
      </c>
      <c r="B52" s="30">
        <v>9381</v>
      </c>
      <c r="C52" s="30">
        <v>105</v>
      </c>
      <c r="D52" s="36">
        <v>140000</v>
      </c>
      <c r="E52" s="7">
        <v>1</v>
      </c>
      <c r="F52" s="7">
        <v>1</v>
      </c>
      <c r="G52" s="7">
        <v>0</v>
      </c>
      <c r="H52" s="7">
        <f t="shared" si="0"/>
        <v>1</v>
      </c>
      <c r="I52" s="30" t="s">
        <v>13</v>
      </c>
      <c r="J52" s="30" t="s">
        <v>9</v>
      </c>
      <c r="K52" s="5"/>
      <c r="L52" s="10"/>
      <c r="M52" s="5"/>
      <c r="N52" s="5"/>
      <c r="O52" s="26"/>
      <c r="P52" s="5"/>
      <c r="Q52" s="12"/>
    </row>
    <row r="53" spans="1:17" ht="15.75">
      <c r="A53" s="30">
        <v>52</v>
      </c>
      <c r="B53" s="30">
        <v>9382</v>
      </c>
      <c r="C53" s="70" t="s">
        <v>18</v>
      </c>
      <c r="D53" s="71"/>
      <c r="E53" s="71"/>
      <c r="F53" s="71"/>
      <c r="G53" s="71"/>
      <c r="H53" s="71"/>
      <c r="I53" s="71"/>
      <c r="J53" s="72"/>
      <c r="K53" s="5"/>
      <c r="L53" s="5"/>
      <c r="M53" s="5"/>
      <c r="N53" s="5"/>
      <c r="O53" s="26"/>
      <c r="P53" s="5"/>
      <c r="Q53" s="12"/>
    </row>
    <row r="54" spans="1:17" ht="15.75">
      <c r="A54" s="30">
        <v>53</v>
      </c>
      <c r="B54" s="30">
        <v>9383</v>
      </c>
      <c r="C54" s="70" t="s">
        <v>18</v>
      </c>
      <c r="D54" s="71"/>
      <c r="E54" s="71"/>
      <c r="F54" s="71"/>
      <c r="G54" s="71"/>
      <c r="H54" s="71"/>
      <c r="I54" s="71"/>
      <c r="J54" s="72"/>
      <c r="K54" s="5"/>
      <c r="L54" s="10"/>
      <c r="M54" s="5"/>
      <c r="N54" s="5"/>
      <c r="O54" s="26"/>
      <c r="P54" s="5"/>
      <c r="Q54" s="12"/>
    </row>
    <row r="55" spans="1:17" ht="15.75">
      <c r="A55" s="30">
        <v>54</v>
      </c>
      <c r="B55" s="30">
        <v>9384</v>
      </c>
      <c r="C55" s="30">
        <v>101</v>
      </c>
      <c r="D55" s="36">
        <v>800000</v>
      </c>
      <c r="E55" s="7">
        <v>2</v>
      </c>
      <c r="F55" s="7">
        <v>2</v>
      </c>
      <c r="G55" s="7">
        <v>2</v>
      </c>
      <c r="H55" s="7">
        <f t="shared" si="0"/>
        <v>4</v>
      </c>
      <c r="I55" s="30" t="s">
        <v>13</v>
      </c>
      <c r="J55" s="30" t="s">
        <v>12</v>
      </c>
      <c r="K55" s="5"/>
      <c r="L55" s="5"/>
      <c r="M55" s="5"/>
      <c r="N55" s="5"/>
      <c r="O55" s="26"/>
      <c r="P55" s="5"/>
      <c r="Q55" s="12"/>
    </row>
    <row r="56" spans="1:17" ht="15.75">
      <c r="A56" s="30">
        <v>55</v>
      </c>
      <c r="B56" s="30">
        <v>9385</v>
      </c>
      <c r="C56" s="30">
        <v>107</v>
      </c>
      <c r="D56" s="36">
        <v>180000</v>
      </c>
      <c r="E56" s="7">
        <v>1</v>
      </c>
      <c r="F56" s="7">
        <v>2</v>
      </c>
      <c r="G56" s="7">
        <v>0</v>
      </c>
      <c r="H56" s="7">
        <f t="shared" si="0"/>
        <v>2</v>
      </c>
      <c r="I56" s="30" t="s">
        <v>17</v>
      </c>
      <c r="J56" s="30" t="s">
        <v>12</v>
      </c>
      <c r="K56" s="5"/>
      <c r="L56" s="10"/>
      <c r="M56" s="5"/>
      <c r="N56" s="5"/>
      <c r="O56" s="26"/>
      <c r="P56" s="5"/>
      <c r="Q56" s="12"/>
    </row>
    <row r="57" spans="1:17" ht="15.75">
      <c r="A57" s="30">
        <v>56</v>
      </c>
      <c r="B57" s="30">
        <v>9386</v>
      </c>
      <c r="C57" s="30">
        <v>201</v>
      </c>
      <c r="D57" s="36">
        <v>180000</v>
      </c>
      <c r="E57" s="7">
        <v>1</v>
      </c>
      <c r="F57" s="7">
        <v>2</v>
      </c>
      <c r="G57" s="7">
        <v>0</v>
      </c>
      <c r="H57" s="7">
        <f t="shared" si="0"/>
        <v>2</v>
      </c>
      <c r="I57" s="30" t="s">
        <v>13</v>
      </c>
      <c r="J57" s="30" t="s">
        <v>12</v>
      </c>
      <c r="K57" s="5"/>
      <c r="L57" s="5"/>
      <c r="M57" s="5"/>
      <c r="N57" s="5"/>
      <c r="O57" s="26"/>
      <c r="P57" s="5"/>
      <c r="Q57" s="12"/>
    </row>
    <row r="58" spans="1:17" ht="15.75">
      <c r="A58" s="30">
        <v>57</v>
      </c>
      <c r="B58" s="30">
        <v>9387</v>
      </c>
      <c r="C58" s="30">
        <v>105</v>
      </c>
      <c r="D58" s="36">
        <v>180000</v>
      </c>
      <c r="E58" s="7">
        <v>1</v>
      </c>
      <c r="F58" s="7">
        <v>2</v>
      </c>
      <c r="G58" s="7">
        <v>0</v>
      </c>
      <c r="H58" s="7">
        <f t="shared" si="0"/>
        <v>2</v>
      </c>
      <c r="I58" s="30" t="s">
        <v>13</v>
      </c>
      <c r="J58" s="30" t="s">
        <v>12</v>
      </c>
      <c r="K58" s="5"/>
      <c r="L58" s="10"/>
      <c r="M58" s="5"/>
      <c r="N58" s="5"/>
      <c r="O58" s="26"/>
      <c r="P58" s="5"/>
      <c r="Q58" s="12"/>
    </row>
    <row r="59" spans="1:17" ht="15.75">
      <c r="A59" s="30">
        <v>58</v>
      </c>
      <c r="B59" s="30">
        <v>9388</v>
      </c>
      <c r="C59" s="61" t="s">
        <v>11</v>
      </c>
      <c r="D59" s="62"/>
      <c r="E59" s="62"/>
      <c r="F59" s="62"/>
      <c r="G59" s="62"/>
      <c r="H59" s="62"/>
      <c r="I59" s="62"/>
      <c r="J59" s="63"/>
      <c r="K59" s="5"/>
      <c r="L59" s="5"/>
      <c r="M59" s="5"/>
      <c r="N59" s="5"/>
      <c r="O59" s="26"/>
      <c r="P59" s="5"/>
      <c r="Q59" s="12"/>
    </row>
    <row r="60" spans="1:17" ht="15.75">
      <c r="A60" s="30">
        <v>59</v>
      </c>
      <c r="B60" s="30">
        <v>9389</v>
      </c>
      <c r="C60" s="30">
        <v>14</v>
      </c>
      <c r="D60" s="36">
        <v>120000</v>
      </c>
      <c r="E60" s="7">
        <v>1</v>
      </c>
      <c r="F60" s="7">
        <v>2</v>
      </c>
      <c r="G60" s="7">
        <v>0</v>
      </c>
      <c r="H60" s="7">
        <f t="shared" si="0"/>
        <v>2</v>
      </c>
      <c r="I60" s="30" t="s">
        <v>13</v>
      </c>
      <c r="J60" s="30" t="s">
        <v>12</v>
      </c>
      <c r="K60" s="5"/>
      <c r="L60" s="10"/>
      <c r="M60" s="5"/>
      <c r="N60" s="5"/>
      <c r="O60" s="26"/>
      <c r="P60" s="5"/>
      <c r="Q60" s="12"/>
    </row>
    <row r="61" spans="1:17" ht="15.75">
      <c r="A61" s="30">
        <v>60</v>
      </c>
      <c r="B61" s="30">
        <v>9390</v>
      </c>
      <c r="C61" s="30">
        <v>104</v>
      </c>
      <c r="D61" s="36">
        <v>140000</v>
      </c>
      <c r="E61" s="7">
        <v>1</v>
      </c>
      <c r="F61" s="7">
        <v>1</v>
      </c>
      <c r="G61" s="7">
        <v>0</v>
      </c>
      <c r="H61" s="7">
        <f t="shared" si="0"/>
        <v>1</v>
      </c>
      <c r="I61" s="30" t="s">
        <v>13</v>
      </c>
      <c r="J61" s="30" t="s">
        <v>9</v>
      </c>
      <c r="K61" s="5"/>
      <c r="L61" s="5"/>
      <c r="M61" s="5"/>
      <c r="N61" s="5"/>
      <c r="O61" s="26"/>
      <c r="P61" s="5"/>
      <c r="Q61" s="12"/>
    </row>
    <row r="62" spans="1:17" ht="15.75">
      <c r="A62" s="30">
        <v>61</v>
      </c>
      <c r="B62" s="30">
        <v>9391</v>
      </c>
      <c r="C62" s="61" t="s">
        <v>11</v>
      </c>
      <c r="D62" s="62"/>
      <c r="E62" s="62"/>
      <c r="F62" s="62"/>
      <c r="G62" s="62"/>
      <c r="H62" s="62"/>
      <c r="I62" s="62"/>
      <c r="J62" s="63"/>
      <c r="K62" s="5"/>
      <c r="L62" s="10"/>
      <c r="M62" s="5"/>
      <c r="N62" s="5"/>
      <c r="O62" s="26"/>
      <c r="P62" s="5"/>
      <c r="Q62" s="12"/>
    </row>
    <row r="63" spans="1:17" ht="15.75">
      <c r="A63" s="30">
        <v>62</v>
      </c>
      <c r="B63" s="30">
        <v>9392</v>
      </c>
      <c r="C63" s="30">
        <v>105</v>
      </c>
      <c r="D63" s="36">
        <v>140000</v>
      </c>
      <c r="E63" s="7">
        <v>1</v>
      </c>
      <c r="F63" s="7">
        <v>1</v>
      </c>
      <c r="G63" s="7">
        <v>0</v>
      </c>
      <c r="H63" s="7">
        <f t="shared" ref="H63:H64" si="1">G63+F63</f>
        <v>1</v>
      </c>
      <c r="I63" s="30" t="s">
        <v>13</v>
      </c>
      <c r="J63" s="30" t="s">
        <v>9</v>
      </c>
      <c r="K63" s="5"/>
      <c r="L63" s="5"/>
      <c r="M63" s="5"/>
      <c r="N63" s="5"/>
      <c r="O63" s="26"/>
      <c r="P63" s="5"/>
      <c r="Q63" s="12"/>
    </row>
    <row r="64" spans="1:17" ht="15.75">
      <c r="A64" s="30">
        <v>63</v>
      </c>
      <c r="B64" s="30">
        <v>9393</v>
      </c>
      <c r="C64" s="30">
        <v>104</v>
      </c>
      <c r="D64" s="36">
        <v>140000</v>
      </c>
      <c r="E64" s="7">
        <v>1</v>
      </c>
      <c r="F64" s="7">
        <v>1</v>
      </c>
      <c r="G64" s="7">
        <v>0</v>
      </c>
      <c r="H64" s="7">
        <f t="shared" si="1"/>
        <v>1</v>
      </c>
      <c r="I64" s="30" t="s">
        <v>13</v>
      </c>
      <c r="J64" s="30" t="s">
        <v>9</v>
      </c>
      <c r="K64" s="5"/>
      <c r="L64" s="10"/>
      <c r="M64" s="5"/>
      <c r="N64" s="5"/>
      <c r="O64" s="11"/>
      <c r="P64" s="5"/>
      <c r="Q64" s="12"/>
    </row>
    <row r="65" spans="1:17" ht="15.75">
      <c r="A65" s="30">
        <v>64</v>
      </c>
      <c r="B65" s="30">
        <v>9394</v>
      </c>
      <c r="C65" s="61" t="s">
        <v>11</v>
      </c>
      <c r="D65" s="62"/>
      <c r="E65" s="62"/>
      <c r="F65" s="62"/>
      <c r="G65" s="62"/>
      <c r="H65" s="62"/>
      <c r="I65" s="62"/>
      <c r="J65" s="63"/>
      <c r="K65" s="5"/>
      <c r="L65" s="5"/>
      <c r="M65" s="5"/>
      <c r="N65" s="5"/>
      <c r="O65" s="26"/>
      <c r="P65" s="5"/>
      <c r="Q65" s="12"/>
    </row>
    <row r="66" spans="1:17" ht="15.75">
      <c r="A66" s="30">
        <v>65</v>
      </c>
      <c r="B66" s="30">
        <v>9395</v>
      </c>
      <c r="C66" s="67" t="s">
        <v>20</v>
      </c>
      <c r="D66" s="68"/>
      <c r="E66" s="68"/>
      <c r="F66" s="68"/>
      <c r="G66" s="68"/>
      <c r="H66" s="68"/>
      <c r="I66" s="68"/>
      <c r="J66" s="69"/>
      <c r="K66" s="5"/>
      <c r="L66" s="10"/>
      <c r="M66" s="5"/>
      <c r="N66" s="5"/>
      <c r="O66" s="26"/>
      <c r="P66" s="5"/>
      <c r="Q66" s="12"/>
    </row>
    <row r="67" spans="1:17" ht="15.75">
      <c r="A67" s="30">
        <v>66</v>
      </c>
      <c r="B67" s="30">
        <v>9396</v>
      </c>
      <c r="C67" s="61" t="s">
        <v>11</v>
      </c>
      <c r="D67" s="62"/>
      <c r="E67" s="62"/>
      <c r="F67" s="62"/>
      <c r="G67" s="62"/>
      <c r="H67" s="62"/>
      <c r="I67" s="62"/>
      <c r="J67" s="63"/>
      <c r="K67" s="5"/>
      <c r="L67" s="5"/>
      <c r="M67" s="5"/>
      <c r="N67" s="5"/>
      <c r="O67" s="26"/>
      <c r="P67" s="5"/>
      <c r="Q67" s="12"/>
    </row>
    <row r="68" spans="1:17" ht="15.75">
      <c r="A68" s="30">
        <v>67</v>
      </c>
      <c r="B68" s="30">
        <v>9397</v>
      </c>
      <c r="C68" s="30">
        <v>104</v>
      </c>
      <c r="D68" s="36">
        <v>140000</v>
      </c>
      <c r="E68" s="7">
        <v>1</v>
      </c>
      <c r="F68" s="7">
        <v>1</v>
      </c>
      <c r="G68" s="7">
        <v>0</v>
      </c>
      <c r="H68" s="7">
        <f t="shared" ref="H68:H80" si="2">G68+F68</f>
        <v>1</v>
      </c>
      <c r="I68" s="30" t="s">
        <v>13</v>
      </c>
      <c r="J68" s="30" t="s">
        <v>9</v>
      </c>
      <c r="K68" s="5"/>
      <c r="L68" s="18"/>
      <c r="M68" s="5"/>
      <c r="N68" s="5"/>
      <c r="O68" s="26"/>
      <c r="P68" s="5"/>
      <c r="Q68" s="12"/>
    </row>
    <row r="69" spans="1:17" ht="15.75">
      <c r="A69" s="30">
        <v>68</v>
      </c>
      <c r="B69" s="30">
        <v>9398</v>
      </c>
      <c r="C69" s="30">
        <v>105</v>
      </c>
      <c r="D69" s="36">
        <v>140000</v>
      </c>
      <c r="E69" s="7">
        <v>1</v>
      </c>
      <c r="F69" s="7">
        <v>1</v>
      </c>
      <c r="G69" s="7">
        <v>0</v>
      </c>
      <c r="H69" s="7">
        <f t="shared" si="2"/>
        <v>1</v>
      </c>
      <c r="I69" s="30" t="s">
        <v>13</v>
      </c>
      <c r="J69" s="30" t="s">
        <v>9</v>
      </c>
      <c r="K69" s="5"/>
      <c r="L69" s="5"/>
      <c r="M69" s="51"/>
      <c r="N69" s="51"/>
      <c r="O69" s="51"/>
      <c r="P69" s="5"/>
      <c r="Q69" s="12"/>
    </row>
    <row r="70" spans="1:17" ht="15.75">
      <c r="A70" s="30">
        <v>69</v>
      </c>
      <c r="B70" s="30">
        <v>9399</v>
      </c>
      <c r="C70" s="30">
        <v>106</v>
      </c>
      <c r="D70" s="36">
        <v>140000</v>
      </c>
      <c r="E70" s="7">
        <v>1</v>
      </c>
      <c r="F70" s="7">
        <v>1</v>
      </c>
      <c r="G70" s="7">
        <v>0</v>
      </c>
      <c r="H70" s="7">
        <f t="shared" si="2"/>
        <v>1</v>
      </c>
      <c r="I70" s="30" t="s">
        <v>13</v>
      </c>
      <c r="J70" s="30" t="s">
        <v>9</v>
      </c>
      <c r="K70" s="5"/>
      <c r="L70" s="10"/>
      <c r="M70" s="5"/>
      <c r="N70" s="5"/>
      <c r="O70" s="26"/>
      <c r="P70" s="5"/>
      <c r="Q70" s="12"/>
    </row>
    <row r="71" spans="1:17" ht="15.75">
      <c r="A71" s="30">
        <v>70</v>
      </c>
      <c r="B71" s="30">
        <v>9400</v>
      </c>
      <c r="C71" s="73" t="s">
        <v>21</v>
      </c>
      <c r="D71" s="74"/>
      <c r="E71" s="74"/>
      <c r="F71" s="74"/>
      <c r="G71" s="74"/>
      <c r="H71" s="74"/>
      <c r="I71" s="74"/>
      <c r="J71" s="75"/>
      <c r="K71" s="5"/>
      <c r="L71" s="5"/>
      <c r="M71" s="5"/>
      <c r="N71" s="5"/>
      <c r="O71" s="11"/>
      <c r="P71" s="5"/>
      <c r="Q71" s="5"/>
    </row>
    <row r="72" spans="1:17" ht="15.75">
      <c r="A72" s="30">
        <v>71</v>
      </c>
      <c r="B72" s="30">
        <v>9401</v>
      </c>
      <c r="C72" s="30">
        <v>105</v>
      </c>
      <c r="D72" s="36">
        <v>180000</v>
      </c>
      <c r="E72" s="7">
        <v>1</v>
      </c>
      <c r="F72" s="7">
        <v>2</v>
      </c>
      <c r="G72" s="7">
        <v>0</v>
      </c>
      <c r="H72" s="7">
        <f t="shared" si="2"/>
        <v>2</v>
      </c>
      <c r="I72" s="30" t="s">
        <v>13</v>
      </c>
      <c r="J72" s="30" t="s">
        <v>12</v>
      </c>
      <c r="K72" s="5"/>
      <c r="L72" s="10"/>
      <c r="M72" s="5"/>
      <c r="N72" s="5"/>
      <c r="O72" s="11"/>
      <c r="P72" s="5"/>
      <c r="Q72" s="5"/>
    </row>
    <row r="73" spans="1:17" ht="15.75">
      <c r="A73" s="30">
        <v>72</v>
      </c>
      <c r="B73" s="30">
        <v>9402</v>
      </c>
      <c r="C73" s="30">
        <v>104</v>
      </c>
      <c r="D73" s="36">
        <v>180000</v>
      </c>
      <c r="E73" s="7">
        <v>1</v>
      </c>
      <c r="F73" s="7">
        <v>2</v>
      </c>
      <c r="G73" s="7">
        <v>0</v>
      </c>
      <c r="H73" s="7">
        <f t="shared" si="2"/>
        <v>2</v>
      </c>
      <c r="I73" s="30" t="s">
        <v>13</v>
      </c>
      <c r="J73" s="30" t="s">
        <v>12</v>
      </c>
      <c r="K73" s="5"/>
      <c r="L73" s="5"/>
      <c r="M73" s="5"/>
      <c r="N73" s="5"/>
      <c r="O73" s="11"/>
      <c r="P73" s="5"/>
      <c r="Q73" s="5"/>
    </row>
    <row r="74" spans="1:17" ht="15.75">
      <c r="A74" s="30">
        <v>73</v>
      </c>
      <c r="B74" s="30">
        <v>9403</v>
      </c>
      <c r="C74" s="30">
        <v>108</v>
      </c>
      <c r="D74" s="36">
        <v>120000</v>
      </c>
      <c r="E74" s="7">
        <v>1</v>
      </c>
      <c r="F74" s="7">
        <v>1</v>
      </c>
      <c r="G74" s="7">
        <v>0</v>
      </c>
      <c r="H74" s="7">
        <f t="shared" si="2"/>
        <v>1</v>
      </c>
      <c r="I74" s="30" t="s">
        <v>13</v>
      </c>
      <c r="J74" s="30" t="s">
        <v>9</v>
      </c>
      <c r="K74" s="5"/>
      <c r="L74" s="5"/>
      <c r="M74" s="5"/>
      <c r="N74" s="5"/>
      <c r="O74" s="11"/>
      <c r="P74" s="5"/>
      <c r="Q74" s="5"/>
    </row>
    <row r="75" spans="1:17" ht="15.75">
      <c r="A75" s="30">
        <v>74</v>
      </c>
      <c r="B75" s="30">
        <v>9404</v>
      </c>
      <c r="C75" s="30">
        <v>109</v>
      </c>
      <c r="D75" s="36">
        <v>120000</v>
      </c>
      <c r="E75" s="7">
        <v>1</v>
      </c>
      <c r="F75" s="7">
        <v>1</v>
      </c>
      <c r="G75" s="7">
        <v>0</v>
      </c>
      <c r="H75" s="7">
        <f t="shared" si="2"/>
        <v>1</v>
      </c>
      <c r="I75" s="30" t="s">
        <v>13</v>
      </c>
      <c r="J75" s="30" t="s">
        <v>9</v>
      </c>
      <c r="K75" s="10"/>
      <c r="L75" s="10"/>
      <c r="M75" s="10"/>
      <c r="N75" s="10"/>
      <c r="O75" s="15"/>
      <c r="P75" s="10"/>
      <c r="Q75" s="10"/>
    </row>
    <row r="76" spans="1:17" ht="15.75">
      <c r="A76" s="30">
        <v>75</v>
      </c>
      <c r="B76" s="30">
        <v>9405</v>
      </c>
      <c r="C76" s="30">
        <v>104</v>
      </c>
      <c r="D76" s="36">
        <v>180000</v>
      </c>
      <c r="E76" s="7">
        <v>1</v>
      </c>
      <c r="F76" s="7">
        <v>2</v>
      </c>
      <c r="G76" s="7">
        <v>0</v>
      </c>
      <c r="H76" s="7">
        <f t="shared" si="2"/>
        <v>2</v>
      </c>
      <c r="I76" s="30" t="s">
        <v>13</v>
      </c>
      <c r="J76" s="30" t="s">
        <v>12</v>
      </c>
      <c r="K76" s="5"/>
      <c r="L76" s="5"/>
      <c r="M76" s="5"/>
      <c r="N76" s="5"/>
      <c r="O76" s="11"/>
      <c r="P76" s="5"/>
      <c r="Q76" s="5"/>
    </row>
    <row r="77" spans="1:17" ht="15.75">
      <c r="A77" s="30">
        <v>76</v>
      </c>
      <c r="B77" s="30">
        <v>9406</v>
      </c>
      <c r="C77" s="67" t="s">
        <v>22</v>
      </c>
      <c r="D77" s="68"/>
      <c r="E77" s="68"/>
      <c r="F77" s="68"/>
      <c r="G77" s="68"/>
      <c r="H77" s="68"/>
      <c r="I77" s="68"/>
      <c r="J77" s="69"/>
      <c r="K77" s="5"/>
      <c r="L77" s="5"/>
      <c r="M77" s="5"/>
      <c r="N77" s="5"/>
      <c r="O77" s="11"/>
      <c r="P77" s="5"/>
      <c r="Q77" s="5"/>
    </row>
    <row r="78" spans="1:17" ht="15.75">
      <c r="A78" s="30">
        <v>77</v>
      </c>
      <c r="B78" s="30">
        <v>9407</v>
      </c>
      <c r="C78" s="30">
        <v>106</v>
      </c>
      <c r="D78" s="36">
        <v>420000</v>
      </c>
      <c r="E78" s="7">
        <v>3</v>
      </c>
      <c r="F78" s="7">
        <v>1</v>
      </c>
      <c r="G78" s="7">
        <v>0</v>
      </c>
      <c r="H78" s="7">
        <f t="shared" si="2"/>
        <v>1</v>
      </c>
      <c r="I78" s="30" t="s">
        <v>13</v>
      </c>
      <c r="J78" s="30" t="s">
        <v>9</v>
      </c>
      <c r="K78" s="5"/>
      <c r="L78" s="5"/>
      <c r="M78" s="5"/>
      <c r="N78" s="5"/>
      <c r="O78" s="11"/>
      <c r="P78" s="5"/>
      <c r="Q78" s="5"/>
    </row>
    <row r="79" spans="1:17" ht="15.75">
      <c r="A79" s="30">
        <v>78</v>
      </c>
      <c r="B79" s="30">
        <v>9408</v>
      </c>
      <c r="C79" s="30">
        <v>107</v>
      </c>
      <c r="D79" s="36">
        <v>420000</v>
      </c>
      <c r="E79" s="7">
        <v>3</v>
      </c>
      <c r="F79" s="7">
        <v>1</v>
      </c>
      <c r="G79" s="7">
        <v>0</v>
      </c>
      <c r="H79" s="7">
        <f t="shared" si="2"/>
        <v>1</v>
      </c>
      <c r="I79" s="30" t="s">
        <v>13</v>
      </c>
      <c r="J79" s="30" t="s">
        <v>9</v>
      </c>
      <c r="K79" s="5"/>
      <c r="L79" s="5"/>
      <c r="M79" s="5"/>
      <c r="N79" s="5"/>
      <c r="O79" s="11"/>
      <c r="P79" s="5"/>
      <c r="Q79" s="5"/>
    </row>
    <row r="80" spans="1:17" ht="15.75">
      <c r="A80" s="30">
        <v>79</v>
      </c>
      <c r="B80" s="30">
        <v>9409</v>
      </c>
      <c r="C80" s="30">
        <v>12</v>
      </c>
      <c r="D80" s="36">
        <v>200000</v>
      </c>
      <c r="E80" s="7">
        <v>1</v>
      </c>
      <c r="F80" s="7">
        <v>2</v>
      </c>
      <c r="G80" s="7">
        <v>1</v>
      </c>
      <c r="H80" s="7">
        <f t="shared" si="2"/>
        <v>3</v>
      </c>
      <c r="I80" s="30" t="s">
        <v>13</v>
      </c>
      <c r="J80" s="30" t="s">
        <v>12</v>
      </c>
      <c r="K80" s="5"/>
      <c r="L80" s="5"/>
      <c r="M80" s="5"/>
      <c r="N80" s="5"/>
      <c r="O80" s="11"/>
      <c r="P80" s="5"/>
      <c r="Q80" s="12"/>
    </row>
    <row r="81" spans="1:17" ht="15.75">
      <c r="A81" s="10"/>
      <c r="B81" s="5"/>
      <c r="C81" s="9" t="s">
        <v>25</v>
      </c>
      <c r="D81" s="38">
        <f>SUM(D2:D80)</f>
        <v>9980000</v>
      </c>
      <c r="E81" s="18"/>
      <c r="F81" s="18"/>
      <c r="G81" s="18"/>
      <c r="H81" s="18"/>
      <c r="I81" s="27"/>
      <c r="J81" s="37"/>
      <c r="K81" s="5"/>
      <c r="L81" s="6"/>
      <c r="M81" s="5"/>
      <c r="N81" s="6"/>
      <c r="O81" s="39" t="s">
        <v>24</v>
      </c>
      <c r="P81" s="8">
        <f>COUNTIF(J:J,"*VACACIONES*")</f>
        <v>23</v>
      </c>
      <c r="Q81" s="12"/>
    </row>
    <row r="82" spans="1:17" ht="15.75">
      <c r="A82" s="10"/>
      <c r="B82" s="5"/>
      <c r="C82" s="5"/>
      <c r="D82" s="20"/>
      <c r="E82" s="5"/>
      <c r="F82" s="14"/>
      <c r="G82" s="14"/>
      <c r="H82" s="5"/>
      <c r="I82" s="21"/>
      <c r="J82" s="21"/>
      <c r="K82" s="5"/>
      <c r="L82" s="5"/>
      <c r="M82" s="5"/>
      <c r="N82" s="6"/>
      <c r="O82" s="39" t="s">
        <v>23</v>
      </c>
      <c r="P82" s="8">
        <f>COUNTIF(J:J,"*TRABAJO*")</f>
        <v>27</v>
      </c>
      <c r="Q82" s="12"/>
    </row>
    <row r="83" spans="1:17" ht="15.75">
      <c r="A83" s="10"/>
      <c r="B83" s="5"/>
      <c r="C83" s="5"/>
      <c r="D83" s="20"/>
      <c r="E83" s="5"/>
      <c r="F83" s="5"/>
      <c r="G83" s="5"/>
      <c r="H83" s="5"/>
      <c r="I83" s="21"/>
      <c r="J83" s="21"/>
      <c r="K83" s="5"/>
      <c r="L83" s="5"/>
      <c r="M83" s="5"/>
      <c r="N83" s="5"/>
      <c r="O83" s="39" t="s">
        <v>26</v>
      </c>
      <c r="P83" s="8">
        <f>SUM(H2:H80)</f>
        <v>84</v>
      </c>
      <c r="Q83" s="12"/>
    </row>
    <row r="84" spans="1:17" ht="15.75">
      <c r="A84" s="10"/>
      <c r="B84" s="5"/>
      <c r="C84" s="5"/>
      <c r="D84" s="11"/>
      <c r="E84" s="5"/>
      <c r="F84" s="5"/>
      <c r="G84" s="5"/>
      <c r="H84" s="5"/>
      <c r="I84" s="21"/>
      <c r="J84" s="21"/>
      <c r="K84" s="5"/>
      <c r="L84" s="5"/>
      <c r="M84" s="5"/>
      <c r="N84" s="5"/>
      <c r="O84" s="23"/>
      <c r="P84" s="6"/>
      <c r="Q84" s="5"/>
    </row>
  </sheetData>
  <mergeCells count="30">
    <mergeCell ref="M69:O69"/>
    <mergeCell ref="C71:J71"/>
    <mergeCell ref="C77:J77"/>
    <mergeCell ref="C48:J48"/>
    <mergeCell ref="C49:J49"/>
    <mergeCell ref="C53:J53"/>
    <mergeCell ref="C54:J54"/>
    <mergeCell ref="C59:J59"/>
    <mergeCell ref="C62:J62"/>
    <mergeCell ref="C65:J65"/>
    <mergeCell ref="C66:J66"/>
    <mergeCell ref="C67:J67"/>
    <mergeCell ref="C44:J44"/>
    <mergeCell ref="C31:J31"/>
    <mergeCell ref="C34:J34"/>
    <mergeCell ref="C35:J35"/>
    <mergeCell ref="C36:J36"/>
    <mergeCell ref="C37:J37"/>
    <mergeCell ref="C38:J38"/>
    <mergeCell ref="C39:J39"/>
    <mergeCell ref="C40:J40"/>
    <mergeCell ref="C41:J41"/>
    <mergeCell ref="C42:J42"/>
    <mergeCell ref="C43:J43"/>
    <mergeCell ref="C30:J30"/>
    <mergeCell ref="C7:J7"/>
    <mergeCell ref="C26:J26"/>
    <mergeCell ref="C27:J27"/>
    <mergeCell ref="C28:J28"/>
    <mergeCell ref="C29:J2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DAYAMU HOTEL CAMPESTRE TAME</dc:creator>
  <cp:lastModifiedBy>Club Campestre Dayamu</cp:lastModifiedBy>
  <dcterms:created xsi:type="dcterms:W3CDTF">2025-06-20T03:27:00Z</dcterms:created>
  <dcterms:modified xsi:type="dcterms:W3CDTF">2026-01-14T11:12:25Z</dcterms:modified>
</cp:coreProperties>
</file>